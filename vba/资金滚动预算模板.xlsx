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80" firstSheet="1"/>
  </bookViews>
  <sheets>
    <sheet name="2026年资金滚动预算" sheetId="1" r:id="rId1"/>
    <sheet name="生成步骤 外采账务明细" sheetId="8" r:id="rId2"/>
    <sheet name="生成后 外采账务明细" sheetId="2" r:id="rId3"/>
    <sheet name="批注对应关系" sheetId="7" r:id="rId4"/>
    <sheet name="Sheet3" sheetId="6" state="hidden" r:id="rId5"/>
  </sheets>
  <definedNames>
    <definedName name="_xlnm._FilterDatabase" localSheetId="2" hidden="1">'生成后 外采账务明细'!$A$1:$I$9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Greta</author>
    <author>a</author>
    <author>Administrator</author>
  </authors>
  <commentList>
    <comment ref="B12" authorId="0">
      <text>
        <r>
          <rPr>
            <b/>
            <sz val="9"/>
            <rFont val="宋体"/>
            <charset val="134"/>
          </rPr>
          <t>Greta:</t>
        </r>
        <r>
          <rPr>
            <sz val="9"/>
            <rFont val="宋体"/>
            <charset val="134"/>
          </rPr>
          <t xml:space="preserve">
包括工资、社保公积金、奖金等</t>
        </r>
      </text>
    </comment>
    <comment ref="B13" authorId="0">
      <text>
        <r>
          <rPr>
            <b/>
            <sz val="9"/>
            <rFont val="宋体"/>
            <charset val="134"/>
          </rPr>
          <t>Greta:</t>
        </r>
        <r>
          <rPr>
            <sz val="9"/>
            <rFont val="宋体"/>
            <charset val="134"/>
          </rPr>
          <t xml:space="preserve">
税金、行政费用、报销等</t>
        </r>
      </text>
    </comment>
    <comment ref="H13" authorId="1">
      <text>
        <r>
          <rPr>
            <b/>
            <sz val="9"/>
            <rFont val="宋体"/>
            <charset val="134"/>
          </rPr>
          <t>时瑜:</t>
        </r>
        <r>
          <rPr>
            <sz val="9"/>
            <rFont val="宋体"/>
            <charset val="134"/>
          </rPr>
          <t xml:space="preserve">
①税金：69.89万
②房租水电等日常费：237.75万（日常报销：181.16万，其他：56.58万）
③外包采购：2316.73万（流量业务：万，其他：万）
④投标保证金：57.69万</t>
        </r>
      </text>
    </comment>
    <comment ref="H20" authorId="1">
      <text>
        <r>
          <rPr>
            <b/>
            <sz val="9"/>
            <rFont val="宋体"/>
            <charset val="134"/>
          </rPr>
          <t>时瑜:</t>
        </r>
        <r>
          <rPr>
            <sz val="9"/>
            <rFont val="宋体"/>
            <charset val="134"/>
          </rPr>
          <t xml:space="preserve">
江苏银行5608 2万
交行5545 350万
工行8331 30万</t>
        </r>
      </text>
    </comment>
    <comment ref="H22" authorId="1">
      <text>
        <r>
          <rPr>
            <b/>
            <sz val="9"/>
            <rFont val="宋体"/>
            <charset val="134"/>
          </rPr>
          <t>时瑜:</t>
        </r>
        <r>
          <rPr>
            <sz val="9"/>
            <rFont val="宋体"/>
            <charset val="134"/>
          </rPr>
          <t xml:space="preserve">
交行5545 350万
江苏银行5608 300万
工行8331 200万</t>
        </r>
      </text>
    </comment>
    <comment ref="B25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扣除募投、大连资本金账户、募投转入一般账户资金
</t>
        </r>
      </text>
    </comment>
    <comment ref="B29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扣除募投、大连资本金账户、募投转入一般账户资金</t>
        </r>
      </text>
    </comment>
  </commentList>
</comments>
</file>

<file path=xl/sharedStrings.xml><?xml version="1.0" encoding="utf-8"?>
<sst xmlns="http://schemas.openxmlformats.org/spreadsheetml/2006/main" count="243" uniqueCount="177">
  <si>
    <t>序号</t>
  </si>
  <si>
    <t>经营管理</t>
  </si>
  <si>
    <t>文件来源</t>
  </si>
  <si>
    <t>数据源</t>
  </si>
  <si>
    <t>备注</t>
  </si>
  <si>
    <t>期初流动资金</t>
  </si>
  <si>
    <t>公式</t>
  </si>
  <si>
    <t>G39</t>
  </si>
  <si>
    <t>三个募投项目每月可置换金额</t>
  </si>
  <si>
    <t>期初募投资金（可转债）</t>
  </si>
  <si>
    <t>2026年6月可转债余额表</t>
  </si>
  <si>
    <t>坐标:“期初余额”+“总计”-F8</t>
  </si>
  <si>
    <t>期初募投资金（定增）</t>
  </si>
  <si>
    <t>2026年6月定增余额表</t>
  </si>
  <si>
    <t>坐标:“期初余额”+“总计”-F6</t>
  </si>
  <si>
    <t>期初募投资金补流</t>
  </si>
  <si>
    <t>期初流动+非流动资金</t>
  </si>
  <si>
    <t>B1</t>
  </si>
  <si>
    <t>销售回笼</t>
  </si>
  <si>
    <t>2026年6月集团滚动资金测算表</t>
  </si>
  <si>
    <t>B列：销售回笼</t>
  </si>
  <si>
    <t>B2</t>
  </si>
  <si>
    <t>其他收入</t>
  </si>
  <si>
    <t>B列：投标保证金退回</t>
  </si>
  <si>
    <t>B3</t>
  </si>
  <si>
    <t>经营管理特殊收入</t>
  </si>
  <si>
    <t>B列：其他收款-经营性</t>
  </si>
  <si>
    <t>A</t>
  </si>
  <si>
    <t>经营性支出</t>
  </si>
  <si>
    <t>A1</t>
  </si>
  <si>
    <t>人力费用</t>
  </si>
  <si>
    <t>B列：薪资及人力费用</t>
  </si>
  <si>
    <t>A2</t>
  </si>
  <si>
    <t>其他费用</t>
  </si>
  <si>
    <t>B列：税金+外包采购、原材料采购+房租、水电-经营性+其它行政分摊费用（机票、酒店、办公费等）+工会费+日常费用报销+投标保证金</t>
  </si>
  <si>
    <t>A3</t>
  </si>
  <si>
    <t>固定资产采购</t>
  </si>
  <si>
    <t>B列：固定资产采购</t>
  </si>
  <si>
    <t>A4</t>
  </si>
  <si>
    <t>经营管理特殊费用</t>
  </si>
  <si>
    <t>B列：特殊支出-经营性</t>
  </si>
  <si>
    <t>捐款&amp;往来/个人借款，需调整到此项目：流水表【16-特殊支出-经营性】/胡慧表【特殊支出-非经营性】中</t>
  </si>
  <si>
    <t>B</t>
  </si>
  <si>
    <t>经营性资金缺口</t>
  </si>
  <si>
    <t>利息收入</t>
  </si>
  <si>
    <t>B列：利息收入</t>
  </si>
  <si>
    <t>理财收入</t>
  </si>
  <si>
    <t>理财赎回</t>
  </si>
  <si>
    <t>B列：结构性存款到期</t>
  </si>
  <si>
    <t>C</t>
  </si>
  <si>
    <t>贷款提取</t>
  </si>
  <si>
    <t>B列：取得贷款</t>
  </si>
  <si>
    <t>C1</t>
  </si>
  <si>
    <t>利息支出</t>
  </si>
  <si>
    <t>B列：利息支出</t>
  </si>
  <si>
    <t>贷款归还</t>
  </si>
  <si>
    <t>B列：归还贷款</t>
  </si>
  <si>
    <t>购买理财</t>
  </si>
  <si>
    <t>B列：购买理财</t>
  </si>
  <si>
    <t>财务性资金余额</t>
  </si>
  <si>
    <t>期末流动+非流动资金</t>
  </si>
  <si>
    <t>期末募投资金（可转债）</t>
  </si>
  <si>
    <t>坐标:“期末余额”+“总计”-L8</t>
  </si>
  <si>
    <t>期末募投资金（定增）</t>
  </si>
  <si>
    <t>坐标:“期末余额”+“总计”-L6</t>
  </si>
  <si>
    <t>期末募投资金补流</t>
  </si>
  <si>
    <t>期末流动资金</t>
  </si>
  <si>
    <t>理财账户余额</t>
  </si>
  <si>
    <t>去除投资款后余额</t>
  </si>
  <si>
    <t>贷款余额</t>
  </si>
  <si>
    <t>非经营性管理</t>
  </si>
  <si>
    <t>投资款</t>
  </si>
  <si>
    <t>B列：吸收投资收到的现金+其他收款-非经营性+特殊支出-非经营性（隋总调线）+收到分配股利</t>
  </si>
  <si>
    <t>投融资相关，调整到此项目：流水表【16-特殊支出-经营性】中</t>
  </si>
  <si>
    <t>理财资金补足</t>
  </si>
  <si>
    <t>C2</t>
  </si>
  <si>
    <t>流动贷款置换</t>
  </si>
  <si>
    <t>并购贷款（建议）</t>
  </si>
  <si>
    <t>扣投资后流动+非流动</t>
  </si>
  <si>
    <t>扣投资后流动</t>
  </si>
  <si>
    <t>每周更新</t>
  </si>
  <si>
    <t>集团内借款</t>
  </si>
  <si>
    <r>
      <rPr>
        <sz val="10.5"/>
        <color theme="1"/>
        <rFont val="宋体"/>
        <charset val="134"/>
      </rPr>
      <t>1. </t>
    </r>
    <r>
      <rPr>
        <sz val="10.5"/>
        <color theme="1"/>
        <rFont val="宋体"/>
        <charset val="134"/>
      </rPr>
      <t>基础资料（数据来源）</t>
    </r>
    <r>
      <rPr>
        <sz val="10.5"/>
        <color theme="1"/>
        <rFont val="Calibri"/>
        <charset val="134"/>
      </rPr>
      <t>-</t>
    </r>
    <r>
      <rPr>
        <sz val="10.5"/>
        <color theme="1"/>
        <rFont val="宋体"/>
        <charset val="134"/>
      </rPr>
      <t>哪些项目数据分别是来自于哪些表格（包括批注）</t>
    </r>
  </si>
  <si>
    <r>
      <rPr>
        <sz val="10.5"/>
        <color theme="1"/>
        <rFont val="宋体"/>
        <charset val="134"/>
      </rPr>
      <t>①滚动资金测算表（</t>
    </r>
    <r>
      <rPr>
        <sz val="10.5"/>
        <color theme="1"/>
        <rFont val="Calibri"/>
        <charset val="134"/>
      </rPr>
      <t>from</t>
    </r>
    <r>
      <rPr>
        <sz val="10.5"/>
        <color theme="1"/>
        <rFont val="宋体"/>
        <charset val="134"/>
      </rPr>
      <t>胡慧）</t>
    </r>
  </si>
  <si>
    <r>
      <rPr>
        <sz val="10.5"/>
        <color theme="1"/>
        <rFont val="宋体"/>
        <charset val="134"/>
      </rPr>
      <t>②银行流水（</t>
    </r>
    <r>
      <rPr>
        <sz val="10.5"/>
        <color theme="1"/>
        <rFont val="Calibri"/>
        <charset val="134"/>
      </rPr>
      <t>from</t>
    </r>
    <r>
      <rPr>
        <sz val="10.5"/>
        <color theme="1"/>
        <rFont val="宋体"/>
        <charset val="134"/>
      </rPr>
      <t>共享文件）</t>
    </r>
  </si>
  <si>
    <r>
      <rPr>
        <sz val="10.5"/>
        <color theme="1"/>
        <rFont val="宋体"/>
        <charset val="134"/>
      </rPr>
      <t>③可转债余额表（</t>
    </r>
    <r>
      <rPr>
        <sz val="10.5"/>
        <color theme="1"/>
        <rFont val="Calibri"/>
        <charset val="134"/>
      </rPr>
      <t>from</t>
    </r>
    <r>
      <rPr>
        <sz val="10.5"/>
        <color theme="1"/>
        <rFont val="宋体"/>
        <charset val="134"/>
      </rPr>
      <t>用友）</t>
    </r>
  </si>
  <si>
    <r>
      <rPr>
        <sz val="10.5"/>
        <color theme="1"/>
        <rFont val="宋体"/>
        <charset val="134"/>
      </rPr>
      <t>④定增余额表（</t>
    </r>
    <r>
      <rPr>
        <sz val="10.5"/>
        <color theme="1"/>
        <rFont val="Calibri"/>
        <charset val="134"/>
      </rPr>
      <t>from</t>
    </r>
    <r>
      <rPr>
        <sz val="10.5"/>
        <color theme="1"/>
        <rFont val="宋体"/>
        <charset val="134"/>
      </rPr>
      <t>用友）</t>
    </r>
  </si>
  <si>
    <t>文件：2026年6月流水</t>
  </si>
  <si>
    <t>①看sheet：银行流水</t>
  </si>
  <si>
    <t>②I列：(表头：备注1 ）筛选 10-外包采购、原材料采购</t>
  </si>
  <si>
    <t>③C列：核算账簿-不含：恒道、顺利、穹创、武汉凌运、广州乐橙、青海</t>
  </si>
  <si>
    <t>④G列:如果借方有数字，变成贷方负数</t>
  </si>
  <si>
    <t>⑤贷方→金额</t>
  </si>
  <si>
    <t>⑥表头“公司”后插入一列业务类型</t>
  </si>
  <si>
    <t>流量业务：摘要含 外包费</t>
  </si>
  <si>
    <t>软件业务：摘要含 支付外包项目款</t>
  </si>
  <si>
    <t>硬件业务：摘要含 支付硬件采购款</t>
  </si>
  <si>
    <t>⑦上一步未匹配上业务类型，摘要含下列公司，业务类型为软件业务</t>
  </si>
  <si>
    <t>德州有限责任公司</t>
  </si>
  <si>
    <t>湖北有限公司</t>
  </si>
  <si>
    <t>上海信息科技有限公司</t>
  </si>
  <si>
    <t>上海网络科技有限公司</t>
  </si>
  <si>
    <t>上海技术有限公司</t>
  </si>
  <si>
    <t>（上海）技术有限公司</t>
  </si>
  <si>
    <t>⑧单独生成一个sheet</t>
  </si>
  <si>
    <t>期间</t>
  </si>
  <si>
    <t>公司</t>
  </si>
  <si>
    <t>业务类型</t>
  </si>
  <si>
    <t>凭证号</t>
  </si>
  <si>
    <t>摘要</t>
  </si>
  <si>
    <t>对方科目</t>
  </si>
  <si>
    <t>金额</t>
  </si>
  <si>
    <r>
      <rPr>
        <b/>
        <sz val="9"/>
        <rFont val="等线"/>
        <charset val="134"/>
      </rPr>
      <t>备注</t>
    </r>
    <r>
      <rPr>
        <b/>
        <sz val="9"/>
        <color theme="1"/>
        <rFont val="等线"/>
        <charset val="134"/>
      </rPr>
      <t>1</t>
    </r>
  </si>
  <si>
    <t>流量业务</t>
  </si>
  <si>
    <t>银付-0009</t>
  </si>
  <si>
    <t>支付信息技术有限公司外包费</t>
  </si>
  <si>
    <t>其他流动资产/预付账款</t>
  </si>
  <si>
    <t>10-外包采购、原材料采购</t>
  </si>
  <si>
    <t>银付-0010</t>
  </si>
  <si>
    <t>银付-0013</t>
  </si>
  <si>
    <t>支付网络科技有限公司外包费</t>
  </si>
  <si>
    <t>D</t>
  </si>
  <si>
    <t>硬件业务</t>
  </si>
  <si>
    <t>银付-0026</t>
  </si>
  <si>
    <t>支付硬件采购款-【 信息科技有限公司】</t>
  </si>
  <si>
    <t>应付账款/生产成本</t>
  </si>
  <si>
    <t>银付-0011</t>
  </si>
  <si>
    <t>银付-0015</t>
  </si>
  <si>
    <t>支付信息科技有限公司外包费</t>
  </si>
  <si>
    <t>软件业务</t>
  </si>
  <si>
    <t>银付-0027</t>
  </si>
  <si>
    <r>
      <rPr>
        <sz val="12"/>
        <rFont val="宋体"/>
        <charset val="0"/>
      </rPr>
      <t>-支付外包项目款</t>
    </r>
    <r>
      <rPr>
        <sz val="12"/>
        <rFont val="Dialog"/>
        <charset val="0"/>
      </rPr>
      <t>-</t>
    </r>
    <r>
      <rPr>
        <sz val="12"/>
        <rFont val="宋体"/>
        <charset val="0"/>
      </rPr>
      <t>【上海有限公司】</t>
    </r>
  </si>
  <si>
    <t>应交税费/生产成本/应付账款</t>
  </si>
  <si>
    <t>1.其他费用-批注</t>
  </si>
  <si>
    <t>①文件-2026年6月集团滚动资金测算表</t>
  </si>
  <si>
    <t>税金</t>
  </si>
  <si>
    <t>外包采购、原材料采购</t>
  </si>
  <si>
    <t>房租、水电-经营性</t>
  </si>
  <si>
    <t>其它行政分摊费用（机票、酒店、办公费等）</t>
  </si>
  <si>
    <t>工会费</t>
  </si>
  <si>
    <t>日常费用报销</t>
  </si>
  <si>
    <t>投标保证金</t>
  </si>
  <si>
    <t>②本表：2026年资金滚动预算表sheet1-批注生成数据来源</t>
  </si>
  <si>
    <t>合计数</t>
  </si>
  <si>
    <t>税金：</t>
  </si>
  <si>
    <t>房租水电等日常费用：</t>
  </si>
  <si>
    <t>房租、水电-经营性+其它行政分摊费用+工会费+日常费用报销</t>
  </si>
  <si>
    <t>日常报销：</t>
  </si>
  <si>
    <t>其他：</t>
  </si>
  <si>
    <t>外包采购：</t>
  </si>
  <si>
    <t>流量业务：</t>
  </si>
  <si>
    <t>外部采购明细表：业务类型是流量业务合计数</t>
  </si>
  <si>
    <t>外部采购明细表：软件业务和硬件业务的合计数</t>
  </si>
  <si>
    <t>投标保证金：</t>
  </si>
  <si>
    <t xml:space="preserve">③其他费用-批注生成样式
</t>
  </si>
  <si>
    <r>
      <rPr>
        <b/>
        <sz val="11"/>
        <color theme="1"/>
        <rFont val="宋体"/>
        <charset val="134"/>
        <scheme val="minor"/>
      </rPr>
      <t>时瑜：</t>
    </r>
    <r>
      <rPr>
        <sz val="11"/>
        <color theme="1"/>
        <rFont val="宋体"/>
        <charset val="134"/>
        <scheme val="minor"/>
      </rPr>
      <t xml:space="preserve">
①税金：69.89万
②房租水电等日常费：237.75万（日常报销：181.16万，其他：56.58万）
③外包采购：2316.73万（流量业务：万，其他：万）
④投标保证金：57.69万
</t>
    </r>
  </si>
  <si>
    <t>2.贷款提取</t>
  </si>
  <si>
    <t>①I列：备注1 筛选 17-取得贷款</t>
  </si>
  <si>
    <t>②摘要列：贷款-江苏银行5608（2026/6/5-2027/6/4，利率2%）</t>
  </si>
  <si>
    <t>取字段-到（，中间字段 和借方金额</t>
  </si>
  <si>
    <t xml:space="preserve">
贷款提取-批注生成样式</t>
  </si>
  <si>
    <r>
      <rPr>
        <b/>
        <sz val="11"/>
        <color theme="1"/>
        <rFont val="宋体"/>
        <charset val="134"/>
        <scheme val="minor"/>
      </rPr>
      <t>时瑜:</t>
    </r>
    <r>
      <rPr>
        <sz val="11"/>
        <color theme="1"/>
        <rFont val="宋体"/>
        <charset val="134"/>
        <scheme val="minor"/>
      </rPr>
      <t xml:space="preserve">
江苏银行5608 2万
交行5545 350万
工行8331 30万
</t>
    </r>
  </si>
  <si>
    <t>3.贷款归还</t>
  </si>
  <si>
    <t>①I列：备注1 筛选 25-归还贷款</t>
  </si>
  <si>
    <t>②摘要列：归还贷款-工行8331（2025/6/30-2026/6/15，利率5%），摘要列要含归还贷款</t>
  </si>
  <si>
    <t>取字段-到（，中间字段 和贷方金额</t>
  </si>
  <si>
    <t>贷款归还-批注生成样式</t>
  </si>
  <si>
    <r>
      <rPr>
        <b/>
        <sz val="11"/>
        <color theme="1"/>
        <rFont val="宋体"/>
        <charset val="134"/>
        <scheme val="minor"/>
      </rPr>
      <t>时瑜:</t>
    </r>
    <r>
      <rPr>
        <sz val="11"/>
        <color theme="1"/>
        <rFont val="宋体"/>
        <charset val="134"/>
        <scheme val="minor"/>
      </rPr>
      <t xml:space="preserve">
交行5545 350万
江苏银行5608 300万
工行8331 200万
</t>
    </r>
  </si>
  <si>
    <t>关联企业</t>
  </si>
  <si>
    <t>德州鲨云电子商务有限责任公司</t>
  </si>
  <si>
    <t>湖北天天数链技术有限公司</t>
  </si>
  <si>
    <t>上海晟备信息科技有限公司</t>
  </si>
  <si>
    <t>上海巨氪网络科技有限公司</t>
  </si>
  <si>
    <t>上海数科晟欧技术有限公司</t>
  </si>
  <si>
    <t>天天数链（上海）技术有限公司</t>
  </si>
  <si>
    <t>上海壹零壹零壹文化传播有限公司</t>
  </si>
  <si>
    <t>邢台市晟德源供应链管理有限公司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</si>
</sst>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#,##0.0_ "/>
    <numFmt numFmtId="178" formatCode="0.00_);[Red]\(0.00\)"/>
    <numFmt numFmtId="179" formatCode="yyyy\-mm"/>
    <numFmt numFmtId="180" formatCode="0;\-0;&quot;-&quot;;@"/>
  </numFmts>
  <fonts count="4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b/>
      <sz val="9"/>
      <color indexed="8"/>
      <name val="等线"/>
      <charset val="134"/>
    </font>
    <font>
      <b/>
      <sz val="9"/>
      <name val="等线"/>
      <charset val="134"/>
    </font>
    <font>
      <sz val="9"/>
      <color indexed="8"/>
      <name val="等线"/>
      <charset val="134"/>
    </font>
    <font>
      <b/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等线"/>
      <charset val="134"/>
    </font>
    <font>
      <b/>
      <sz val="10"/>
      <name val="等线"/>
      <charset val="134"/>
    </font>
    <font>
      <b/>
      <sz val="10"/>
      <color theme="0" tint="-0.349986266670736"/>
      <name val="等线"/>
      <charset val="134"/>
    </font>
    <font>
      <sz val="10"/>
      <color theme="0" tint="-0.349986266670736"/>
      <name val="等线"/>
      <charset val="134"/>
    </font>
    <font>
      <sz val="10"/>
      <name val="等线"/>
      <charset val="134"/>
    </font>
    <font>
      <b/>
      <sz val="10"/>
      <color rgb="FFFF0000"/>
      <name val="等线"/>
      <charset val="134"/>
    </font>
    <font>
      <sz val="10"/>
      <color rgb="FFFF0000"/>
      <name val="等线"/>
      <charset val="134"/>
    </font>
    <font>
      <sz val="10"/>
      <color theme="1"/>
      <name val="等线"/>
      <charset val="134"/>
    </font>
    <font>
      <sz val="10"/>
      <color rgb="FF000000"/>
      <name val="等线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Calibri"/>
      <charset val="134"/>
    </font>
    <font>
      <sz val="12"/>
      <name val="宋体"/>
      <charset val="0"/>
    </font>
    <font>
      <sz val="12"/>
      <name val="Dialog"/>
      <charset val="0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8" borderId="37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30" fillId="0" borderId="38" applyNumberFormat="0" applyFill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40" applyNumberFormat="0" applyAlignment="0" applyProtection="0">
      <alignment vertical="center"/>
    </xf>
    <xf numFmtId="0" fontId="33" fillId="10" borderId="41" applyNumberFormat="0" applyAlignment="0" applyProtection="0">
      <alignment vertical="center"/>
    </xf>
    <xf numFmtId="0" fontId="34" fillId="10" borderId="40" applyNumberFormat="0" applyAlignment="0" applyProtection="0">
      <alignment vertical="center"/>
    </xf>
    <xf numFmtId="0" fontId="35" fillId="11" borderId="42" applyNumberFormat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7" fillId="0" borderId="44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</cellStyleXfs>
  <cellXfs count="17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center" wrapText="1"/>
    </xf>
    <xf numFmtId="176" fontId="2" fillId="3" borderId="2" xfId="3" applyNumberFormat="1" applyFont="1" applyFill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176" fontId="3" fillId="0" borderId="0" xfId="3" applyNumberFormat="1" applyFont="1" applyFill="1">
      <alignment vertical="center"/>
    </xf>
    <xf numFmtId="0" fontId="1" fillId="0" borderId="2" xfId="0" applyFont="1" applyBorder="1">
      <alignment vertical="center"/>
    </xf>
    <xf numFmtId="176" fontId="2" fillId="0" borderId="2" xfId="0" applyNumberFormat="1" applyFont="1" applyBorder="1" applyAlignment="1">
      <alignment horizontal="right" vertical="center"/>
    </xf>
    <xf numFmtId="0" fontId="0" fillId="0" borderId="2" xfId="0" applyBorder="1">
      <alignment vertical="center"/>
    </xf>
    <xf numFmtId="176" fontId="3" fillId="0" borderId="2" xfId="0" applyNumberFormat="1" applyFont="1" applyBorder="1" applyAlignment="1">
      <alignment horizontal="left" vertical="center"/>
    </xf>
    <xf numFmtId="176" fontId="3" fillId="0" borderId="2" xfId="0" applyNumberFormat="1" applyFont="1" applyBorder="1" applyAlignment="1">
      <alignment horizontal="right" vertical="center"/>
    </xf>
    <xf numFmtId="177" fontId="3" fillId="0" borderId="2" xfId="0" applyNumberFormat="1" applyFont="1" applyBorder="1" applyAlignment="1">
      <alignment horizontal="left" vertical="center" indent="1"/>
    </xf>
    <xf numFmtId="176" fontId="3" fillId="0" borderId="2" xfId="0" applyNumberFormat="1" applyFont="1" applyBorder="1" applyAlignment="1">
      <alignment horizontal="left" vertical="center" indent="1"/>
    </xf>
    <xf numFmtId="176" fontId="2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176" fontId="3" fillId="0" borderId="0" xfId="0" applyNumberFormat="1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/>
    <xf numFmtId="0" fontId="5" fillId="0" borderId="0" xfId="0" applyFont="1">
      <alignment vertical="center"/>
    </xf>
    <xf numFmtId="0" fontId="5" fillId="0" borderId="0" xfId="0" applyFont="1" applyAlignment="1">
      <alignment vertical="center"/>
    </xf>
    <xf numFmtId="178" fontId="5" fillId="0" borderId="0" xfId="0" applyNumberFormat="1" applyFont="1">
      <alignment vertical="center"/>
    </xf>
    <xf numFmtId="1" fontId="6" fillId="0" borderId="3" xfId="0" applyNumberFormat="1" applyFont="1" applyBorder="1" applyAlignment="1" applyProtection="1">
      <alignment horizontal="center" vertical="center"/>
      <protection locked="0"/>
    </xf>
    <xf numFmtId="49" fontId="6" fillId="0" borderId="3" xfId="0" applyNumberFormat="1" applyFont="1" applyBorder="1" applyAlignment="1" applyProtection="1">
      <alignment horizontal="center" vertical="center"/>
      <protection locked="0"/>
    </xf>
    <xf numFmtId="49" fontId="6" fillId="0" borderId="3" xfId="0" applyNumberFormat="1" applyFont="1" applyBorder="1" applyAlignment="1" applyProtection="1">
      <alignment horizontal="center" vertical="center" wrapText="1"/>
      <protection locked="0"/>
    </xf>
    <xf numFmtId="49" fontId="7" fillId="0" borderId="3" xfId="0" applyNumberFormat="1" applyFont="1" applyBorder="1" applyAlignment="1" applyProtection="1">
      <alignment horizontal="center" vertical="center"/>
      <protection locked="0"/>
    </xf>
    <xf numFmtId="178" fontId="7" fillId="0" borderId="3" xfId="0" applyNumberFormat="1" applyFont="1" applyBorder="1" applyAlignment="1" applyProtection="1">
      <alignment horizontal="center" vertical="center"/>
      <protection locked="0"/>
    </xf>
    <xf numFmtId="0" fontId="7" fillId="0" borderId="0" xfId="0" applyFont="1" applyAlignment="1"/>
    <xf numFmtId="179" fontId="8" fillId="0" borderId="2" xfId="0" applyNumberFormat="1" applyFont="1" applyBorder="1" applyAlignment="1">
      <alignment horizontal="center" vertical="center"/>
    </xf>
    <xf numFmtId="179" fontId="8" fillId="0" borderId="2" xfId="0" applyNumberFormat="1" applyFont="1" applyBorder="1" applyAlignment="1">
      <alignment horizontal="left" vertical="center"/>
    </xf>
    <xf numFmtId="178" fontId="8" fillId="0" borderId="2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>
      <alignment vertical="center"/>
    </xf>
    <xf numFmtId="57" fontId="14" fillId="0" borderId="6" xfId="0" applyNumberFormat="1" applyFont="1" applyBorder="1" applyAlignment="1">
      <alignment horizontal="center" vertical="center"/>
    </xf>
    <xf numFmtId="57" fontId="14" fillId="0" borderId="7" xfId="0" applyNumberFormat="1" applyFont="1" applyBorder="1" applyAlignment="1">
      <alignment horizontal="center" vertical="center"/>
    </xf>
    <xf numFmtId="57" fontId="14" fillId="0" borderId="8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4" borderId="10" xfId="0" applyFont="1" applyFill="1" applyBorder="1" applyAlignment="1">
      <alignment vertical="center" wrapText="1"/>
    </xf>
    <xf numFmtId="176" fontId="15" fillId="4" borderId="11" xfId="0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43" fontId="15" fillId="4" borderId="12" xfId="0" applyNumberFormat="1" applyFont="1" applyFill="1" applyBorder="1" applyAlignment="1">
      <alignment horizontal="right" vertical="center"/>
    </xf>
    <xf numFmtId="176" fontId="15" fillId="4" borderId="13" xfId="0" applyNumberFormat="1" applyFont="1" applyFill="1" applyBorder="1" applyAlignment="1">
      <alignment horizontal="right" vertical="center"/>
    </xf>
    <xf numFmtId="0" fontId="16" fillId="0" borderId="9" xfId="0" applyFont="1" applyBorder="1" applyAlignment="1">
      <alignment horizontal="center" vertical="center"/>
    </xf>
    <xf numFmtId="0" fontId="17" fillId="0" borderId="14" xfId="0" applyFont="1" applyBorder="1">
      <alignment vertical="center"/>
    </xf>
    <xf numFmtId="176" fontId="18" fillId="5" borderId="15" xfId="0" applyNumberFormat="1" applyFont="1" applyFill="1" applyBorder="1" applyAlignment="1">
      <alignment horizontal="right" vertical="center"/>
    </xf>
    <xf numFmtId="176" fontId="18" fillId="5" borderId="16" xfId="0" applyNumberFormat="1" applyFont="1" applyFill="1" applyBorder="1" applyAlignment="1">
      <alignment horizontal="right" vertical="center"/>
    </xf>
    <xf numFmtId="43" fontId="18" fillId="5" borderId="16" xfId="0" applyNumberFormat="1" applyFont="1" applyFill="1" applyBorder="1" applyAlignment="1">
      <alignment horizontal="right" vertical="center"/>
    </xf>
    <xf numFmtId="176" fontId="18" fillId="5" borderId="17" xfId="0" applyNumberFormat="1" applyFont="1" applyFill="1" applyBorder="1" applyAlignment="1">
      <alignment horizontal="right" vertical="center"/>
    </xf>
    <xf numFmtId="0" fontId="18" fillId="0" borderId="9" xfId="0" applyFont="1" applyBorder="1" applyAlignment="1">
      <alignment vertical="center" wrapText="1"/>
    </xf>
    <xf numFmtId="176" fontId="18" fillId="5" borderId="1" xfId="0" applyNumberFormat="1" applyFont="1" applyFill="1" applyBorder="1" applyAlignment="1">
      <alignment horizontal="right" vertical="center"/>
    </xf>
    <xf numFmtId="176" fontId="18" fillId="5" borderId="2" xfId="0" applyNumberFormat="1" applyFont="1" applyFill="1" applyBorder="1" applyAlignment="1">
      <alignment horizontal="right" vertical="center"/>
    </xf>
    <xf numFmtId="43" fontId="18" fillId="5" borderId="2" xfId="0" applyNumberFormat="1" applyFont="1" applyFill="1" applyBorder="1" applyAlignment="1">
      <alignment horizontal="right" vertical="center"/>
    </xf>
    <xf numFmtId="176" fontId="18" fillId="5" borderId="18" xfId="0" applyNumberFormat="1" applyFont="1" applyFill="1" applyBorder="1" applyAlignment="1">
      <alignment horizontal="right" vertical="center"/>
    </xf>
    <xf numFmtId="0" fontId="19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vertical="center" wrapText="1"/>
    </xf>
    <xf numFmtId="176" fontId="20" fillId="5" borderId="1" xfId="0" applyNumberFormat="1" applyFont="1" applyFill="1" applyBorder="1" applyAlignment="1">
      <alignment horizontal="right" vertical="center"/>
    </xf>
    <xf numFmtId="176" fontId="20" fillId="5" borderId="2" xfId="0" applyNumberFormat="1" applyFont="1" applyFill="1" applyBorder="1" applyAlignment="1">
      <alignment horizontal="right" vertical="center"/>
    </xf>
    <xf numFmtId="43" fontId="20" fillId="5" borderId="2" xfId="0" applyNumberFormat="1" applyFont="1" applyFill="1" applyBorder="1" applyAlignment="1">
      <alignment horizontal="right" vertical="center"/>
    </xf>
    <xf numFmtId="176" fontId="20" fillId="5" borderId="18" xfId="0" applyNumberFormat="1" applyFont="1" applyFill="1" applyBorder="1" applyAlignment="1">
      <alignment horizontal="right" vertical="center"/>
    </xf>
    <xf numFmtId="0" fontId="18" fillId="0" borderId="19" xfId="0" applyFont="1" applyBorder="1" applyAlignment="1">
      <alignment vertical="center" wrapText="1"/>
    </xf>
    <xf numFmtId="176" fontId="18" fillId="5" borderId="20" xfId="0" applyNumberFormat="1" applyFont="1" applyFill="1" applyBorder="1" applyAlignment="1">
      <alignment horizontal="right" vertical="center"/>
    </xf>
    <xf numFmtId="176" fontId="18" fillId="5" borderId="21" xfId="0" applyNumberFormat="1" applyFont="1" applyFill="1" applyBorder="1" applyAlignment="1">
      <alignment horizontal="right" vertical="center"/>
    </xf>
    <xf numFmtId="43" fontId="18" fillId="5" borderId="21" xfId="0" applyNumberFormat="1" applyFont="1" applyFill="1" applyBorder="1" applyAlignment="1">
      <alignment horizontal="right" vertical="center"/>
    </xf>
    <xf numFmtId="176" fontId="18" fillId="5" borderId="22" xfId="0" applyNumberFormat="1" applyFont="1" applyFill="1" applyBorder="1" applyAlignment="1">
      <alignment horizontal="right" vertical="center"/>
    </xf>
    <xf numFmtId="0" fontId="15" fillId="6" borderId="10" xfId="0" applyFont="1" applyFill="1" applyBorder="1">
      <alignment vertical="center"/>
    </xf>
    <xf numFmtId="176" fontId="15" fillId="6" borderId="23" xfId="0" applyNumberFormat="1" applyFont="1" applyFill="1" applyBorder="1" applyAlignment="1">
      <alignment horizontal="right" vertical="center"/>
    </xf>
    <xf numFmtId="43" fontId="15" fillId="6" borderId="24" xfId="0" applyNumberFormat="1" applyFont="1" applyFill="1" applyBorder="1" applyAlignment="1">
      <alignment horizontal="right" vertical="center"/>
    </xf>
    <xf numFmtId="180" fontId="15" fillId="6" borderId="24" xfId="0" applyNumberFormat="1" applyFont="1" applyFill="1" applyBorder="1" applyAlignment="1">
      <alignment horizontal="right" vertical="center"/>
    </xf>
    <xf numFmtId="180" fontId="15" fillId="6" borderId="25" xfId="0" applyNumberFormat="1" applyFont="1" applyFill="1" applyBorder="1" applyAlignment="1">
      <alignment horizontal="right" vertical="center"/>
    </xf>
    <xf numFmtId="0" fontId="15" fillId="0" borderId="9" xfId="0" applyFont="1" applyBorder="1" applyAlignment="1">
      <alignment horizontal="center" vertical="center"/>
    </xf>
    <xf numFmtId="0" fontId="18" fillId="0" borderId="14" xfId="0" applyFont="1" applyBorder="1" applyAlignment="1">
      <alignment vertical="center" wrapText="1"/>
    </xf>
    <xf numFmtId="176" fontId="18" fillId="0" borderId="26" xfId="3" applyNumberFormat="1" applyFont="1" applyFill="1" applyBorder="1" applyAlignment="1">
      <alignment horizontal="right" vertical="center"/>
    </xf>
    <xf numFmtId="176" fontId="18" fillId="0" borderId="27" xfId="0" applyNumberFormat="1" applyFont="1" applyBorder="1" applyAlignment="1">
      <alignment horizontal="right" vertical="center"/>
    </xf>
    <xf numFmtId="43" fontId="18" fillId="0" borderId="27" xfId="0" applyNumberFormat="1" applyFont="1" applyBorder="1" applyAlignment="1">
      <alignment horizontal="right" vertical="center"/>
    </xf>
    <xf numFmtId="43" fontId="18" fillId="0" borderId="27" xfId="0" applyNumberFormat="1" applyFont="1" applyFill="1" applyBorder="1" applyAlignment="1">
      <alignment horizontal="right" vertical="center"/>
    </xf>
    <xf numFmtId="176" fontId="18" fillId="0" borderId="27" xfId="3" applyNumberFormat="1" applyFont="1" applyFill="1" applyBorder="1" applyAlignment="1">
      <alignment horizontal="right" vertical="center"/>
    </xf>
    <xf numFmtId="176" fontId="18" fillId="0" borderId="28" xfId="0" applyNumberFormat="1" applyFont="1" applyBorder="1" applyAlignment="1">
      <alignment horizontal="right" vertical="center"/>
    </xf>
    <xf numFmtId="176" fontId="18" fillId="0" borderId="1" xfId="3" applyNumberFormat="1" applyFont="1" applyFill="1" applyBorder="1" applyAlignment="1">
      <alignment horizontal="right" vertical="center"/>
    </xf>
    <xf numFmtId="176" fontId="18" fillId="0" borderId="2" xfId="0" applyNumberFormat="1" applyFont="1" applyBorder="1" applyAlignment="1">
      <alignment horizontal="right" vertical="center"/>
    </xf>
    <xf numFmtId="43" fontId="18" fillId="0" borderId="2" xfId="0" applyNumberFormat="1" applyFont="1" applyBorder="1" applyAlignment="1">
      <alignment horizontal="right" vertical="center"/>
    </xf>
    <xf numFmtId="176" fontId="18" fillId="0" borderId="2" xfId="3" applyNumberFormat="1" applyFont="1" applyFill="1" applyBorder="1" applyAlignment="1">
      <alignment horizontal="right" vertical="center"/>
    </xf>
    <xf numFmtId="176" fontId="18" fillId="0" borderId="18" xfId="0" applyNumberFormat="1" applyFont="1" applyBorder="1" applyAlignment="1">
      <alignment horizontal="right" vertical="center"/>
    </xf>
    <xf numFmtId="176" fontId="18" fillId="0" borderId="1" xfId="3" applyNumberFormat="1" applyFont="1" applyBorder="1" applyAlignment="1">
      <alignment horizontal="right" vertical="center"/>
    </xf>
    <xf numFmtId="176" fontId="18" fillId="0" borderId="2" xfId="3" applyNumberFormat="1" applyFont="1" applyBorder="1" applyAlignment="1">
      <alignment horizontal="right" vertical="center"/>
    </xf>
    <xf numFmtId="0" fontId="15" fillId="0" borderId="9" xfId="0" applyFont="1" applyBorder="1" applyAlignment="1">
      <alignment vertical="center" wrapText="1"/>
    </xf>
    <xf numFmtId="176" fontId="15" fillId="0" borderId="1" xfId="0" applyNumberFormat="1" applyFont="1" applyBorder="1" applyAlignment="1">
      <alignment horizontal="right" vertical="center"/>
    </xf>
    <xf numFmtId="43" fontId="15" fillId="0" borderId="2" xfId="0" applyNumberFormat="1" applyFont="1" applyBorder="1" applyAlignment="1">
      <alignment horizontal="right" vertical="center"/>
    </xf>
    <xf numFmtId="180" fontId="15" fillId="0" borderId="2" xfId="0" applyNumberFormat="1" applyFont="1" applyBorder="1" applyAlignment="1">
      <alignment horizontal="right" vertical="center"/>
    </xf>
    <xf numFmtId="180" fontId="15" fillId="0" borderId="18" xfId="0" applyNumberFormat="1" applyFont="1" applyBorder="1" applyAlignment="1">
      <alignment horizontal="right" vertical="center"/>
    </xf>
    <xf numFmtId="0" fontId="18" fillId="0" borderId="9" xfId="0" applyFont="1" applyBorder="1" applyAlignment="1">
      <alignment horizontal="left" vertical="center" wrapText="1"/>
    </xf>
    <xf numFmtId="176" fontId="18" fillId="0" borderId="1" xfId="1" applyNumberFormat="1" applyFont="1" applyBorder="1" applyAlignment="1">
      <alignment horizontal="right" vertical="center"/>
    </xf>
    <xf numFmtId="176" fontId="18" fillId="0" borderId="2" xfId="1" applyNumberFormat="1" applyFont="1" applyBorder="1" applyAlignment="1">
      <alignment horizontal="right" vertical="center"/>
    </xf>
    <xf numFmtId="43" fontId="18" fillId="0" borderId="2" xfId="0" applyNumberFormat="1" applyFont="1" applyFill="1" applyBorder="1" applyAlignment="1">
      <alignment horizontal="right" vertical="center"/>
    </xf>
    <xf numFmtId="176" fontId="18" fillId="0" borderId="18" xfId="1" applyNumberFormat="1" applyFont="1" applyFill="1" applyBorder="1" applyAlignment="1">
      <alignment horizontal="right" vertical="center"/>
    </xf>
    <xf numFmtId="43" fontId="18" fillId="0" borderId="2" xfId="1" applyFont="1" applyBorder="1" applyAlignment="1">
      <alignment horizontal="right" vertical="center"/>
    </xf>
    <xf numFmtId="176" fontId="18" fillId="0" borderId="1" xfId="0" applyNumberFormat="1" applyFont="1" applyBorder="1" applyAlignment="1">
      <alignment horizontal="right" vertical="center"/>
    </xf>
    <xf numFmtId="43" fontId="18" fillId="0" borderId="18" xfId="1" applyFont="1" applyFill="1" applyBorder="1" applyAlignment="1">
      <alignment horizontal="right" vertical="center"/>
    </xf>
    <xf numFmtId="0" fontId="18" fillId="0" borderId="9" xfId="0" applyFont="1" applyBorder="1" applyAlignment="1">
      <alignment horizontal="left" vertical="center"/>
    </xf>
    <xf numFmtId="43" fontId="18" fillId="0" borderId="2" xfId="1" applyFont="1" applyFill="1" applyBorder="1" applyAlignment="1">
      <alignment horizontal="right" vertical="center"/>
    </xf>
    <xf numFmtId="0" fontId="15" fillId="0" borderId="29" xfId="0" applyFont="1" applyBorder="1" applyAlignment="1">
      <alignment vertical="center" wrapText="1"/>
    </xf>
    <xf numFmtId="176" fontId="15" fillId="0" borderId="11" xfId="0" applyNumberFormat="1" applyFont="1" applyBorder="1" applyAlignment="1">
      <alignment horizontal="right" vertical="center"/>
    </xf>
    <xf numFmtId="43" fontId="15" fillId="0" borderId="30" xfId="0" applyNumberFormat="1" applyFont="1" applyBorder="1" applyAlignment="1">
      <alignment horizontal="right" vertical="center"/>
    </xf>
    <xf numFmtId="180" fontId="15" fillId="0" borderId="30" xfId="0" applyNumberFormat="1" applyFont="1" applyBorder="1" applyAlignment="1">
      <alignment horizontal="right" vertical="center"/>
    </xf>
    <xf numFmtId="180" fontId="15" fillId="0" borderId="31" xfId="0" applyNumberFormat="1" applyFont="1" applyBorder="1" applyAlignment="1">
      <alignment horizontal="right" vertical="center"/>
    </xf>
    <xf numFmtId="0" fontId="15" fillId="6" borderId="5" xfId="0" applyFont="1" applyFill="1" applyBorder="1">
      <alignment vertical="center"/>
    </xf>
    <xf numFmtId="176" fontId="15" fillId="6" borderId="32" xfId="0" applyNumberFormat="1" applyFont="1" applyFill="1" applyBorder="1" applyAlignment="1">
      <alignment horizontal="right" vertical="center"/>
    </xf>
    <xf numFmtId="43" fontId="15" fillId="6" borderId="33" xfId="0" applyNumberFormat="1" applyFont="1" applyFill="1" applyBorder="1" applyAlignment="1">
      <alignment horizontal="right" vertical="center"/>
    </xf>
    <xf numFmtId="43" fontId="15" fillId="6" borderId="33" xfId="3" applyNumberFormat="1" applyFont="1" applyFill="1" applyBorder="1" applyAlignment="1">
      <alignment horizontal="right" vertical="center"/>
    </xf>
    <xf numFmtId="180" fontId="15" fillId="6" borderId="33" xfId="0" applyNumberFormat="1" applyFont="1" applyFill="1" applyBorder="1" applyAlignment="1">
      <alignment horizontal="right" vertical="center"/>
    </xf>
    <xf numFmtId="180" fontId="15" fillId="6" borderId="34" xfId="0" applyNumberFormat="1" applyFont="1" applyFill="1" applyBorder="1" applyAlignment="1">
      <alignment horizontal="right" vertical="center"/>
    </xf>
    <xf numFmtId="0" fontId="18" fillId="0" borderId="4" xfId="0" applyFont="1" applyBorder="1" applyAlignment="1">
      <alignment vertical="center" wrapText="1"/>
    </xf>
    <xf numFmtId="176" fontId="18" fillId="5" borderId="26" xfId="0" applyNumberFormat="1" applyFont="1" applyFill="1" applyBorder="1" applyAlignment="1">
      <alignment horizontal="right" vertical="center"/>
    </xf>
    <xf numFmtId="176" fontId="18" fillId="5" borderId="27" xfId="0" applyNumberFormat="1" applyFont="1" applyFill="1" applyBorder="1" applyAlignment="1">
      <alignment horizontal="right" vertical="center"/>
    </xf>
    <xf numFmtId="43" fontId="18" fillId="5" borderId="27" xfId="0" applyNumberFormat="1" applyFont="1" applyFill="1" applyBorder="1" applyAlignment="1">
      <alignment horizontal="right" vertical="center"/>
    </xf>
    <xf numFmtId="176" fontId="18" fillId="5" borderId="28" xfId="0" applyNumberFormat="1" applyFont="1" applyFill="1" applyBorder="1" applyAlignment="1">
      <alignment horizontal="right" vertical="center"/>
    </xf>
    <xf numFmtId="0" fontId="15" fillId="4" borderId="9" xfId="0" applyFont="1" applyFill="1" applyBorder="1" applyAlignment="1">
      <alignment vertical="center" wrapText="1"/>
    </xf>
    <xf numFmtId="176" fontId="15" fillId="4" borderId="1" xfId="0" applyNumberFormat="1" applyFont="1" applyFill="1" applyBorder="1" applyAlignment="1">
      <alignment horizontal="right" vertical="center"/>
    </xf>
    <xf numFmtId="43" fontId="15" fillId="4" borderId="2" xfId="0" applyNumberFormat="1" applyFont="1" applyFill="1" applyBorder="1" applyAlignment="1">
      <alignment horizontal="right" vertical="center"/>
    </xf>
    <xf numFmtId="180" fontId="15" fillId="4" borderId="2" xfId="0" applyNumberFormat="1" applyFont="1" applyFill="1" applyBorder="1" applyAlignment="1">
      <alignment horizontal="right" vertical="center"/>
    </xf>
    <xf numFmtId="180" fontId="15" fillId="4" borderId="18" xfId="0" applyNumberFormat="1" applyFont="1" applyFill="1" applyBorder="1" applyAlignment="1">
      <alignment horizontal="right" vertical="center"/>
    </xf>
    <xf numFmtId="180" fontId="18" fillId="5" borderId="2" xfId="0" applyNumberFormat="1" applyFont="1" applyFill="1" applyBorder="1" applyAlignment="1">
      <alignment horizontal="right" vertical="center"/>
    </xf>
    <xf numFmtId="180" fontId="18" fillId="5" borderId="18" xfId="0" applyNumberFormat="1" applyFont="1" applyFill="1" applyBorder="1" applyAlignment="1">
      <alignment horizontal="right" vertical="center"/>
    </xf>
    <xf numFmtId="0" fontId="21" fillId="0" borderId="29" xfId="0" applyFont="1" applyBorder="1">
      <alignment vertical="center"/>
    </xf>
    <xf numFmtId="176" fontId="21" fillId="0" borderId="11" xfId="0" applyNumberFormat="1" applyFont="1" applyBorder="1" applyAlignment="1">
      <alignment horizontal="right" vertical="center"/>
    </xf>
    <xf numFmtId="176" fontId="21" fillId="0" borderId="30" xfId="0" applyNumberFormat="1" applyFont="1" applyBorder="1" applyAlignment="1">
      <alignment horizontal="right" vertical="center"/>
    </xf>
    <xf numFmtId="43" fontId="21" fillId="0" borderId="30" xfId="0" applyNumberFormat="1" applyFont="1" applyBorder="1" applyAlignment="1">
      <alignment horizontal="right" vertical="center"/>
    </xf>
    <xf numFmtId="176" fontId="21" fillId="0" borderId="31" xfId="0" applyNumberFormat="1" applyFont="1" applyBorder="1" applyAlignment="1">
      <alignment horizontal="right" vertical="center"/>
    </xf>
    <xf numFmtId="0" fontId="14" fillId="7" borderId="35" xfId="0" applyFont="1" applyFill="1" applyBorder="1">
      <alignment vertical="center"/>
    </xf>
    <xf numFmtId="176" fontId="15" fillId="7" borderId="36" xfId="0" applyNumberFormat="1" applyFont="1" applyFill="1" applyBorder="1">
      <alignment vertical="center"/>
    </xf>
    <xf numFmtId="43" fontId="15" fillId="7" borderId="12" xfId="0" applyNumberFormat="1" applyFont="1" applyFill="1" applyBorder="1">
      <alignment vertical="center"/>
    </xf>
    <xf numFmtId="180" fontId="15" fillId="7" borderId="12" xfId="0" applyNumberFormat="1" applyFont="1" applyFill="1" applyBorder="1">
      <alignment vertical="center"/>
    </xf>
    <xf numFmtId="180" fontId="15" fillId="7" borderId="13" xfId="0" applyNumberFormat="1" applyFont="1" applyFill="1" applyBorder="1">
      <alignment vertical="center"/>
    </xf>
    <xf numFmtId="57" fontId="21" fillId="0" borderId="23" xfId="0" applyNumberFormat="1" applyFont="1" applyBorder="1" applyAlignment="1">
      <alignment horizontal="center" vertical="center"/>
    </xf>
    <xf numFmtId="57" fontId="21" fillId="0" borderId="24" xfId="0" applyNumberFormat="1" applyFont="1" applyBorder="1" applyAlignment="1">
      <alignment horizontal="center" vertical="center"/>
    </xf>
    <xf numFmtId="57" fontId="21" fillId="0" borderId="25" xfId="0" applyNumberFormat="1" applyFont="1" applyBorder="1" applyAlignment="1">
      <alignment horizontal="center" vertical="center"/>
    </xf>
    <xf numFmtId="176" fontId="14" fillId="0" borderId="9" xfId="0" applyNumberFormat="1" applyFont="1" applyBorder="1" applyAlignment="1">
      <alignment horizontal="center" vertical="center"/>
    </xf>
    <xf numFmtId="176" fontId="21" fillId="0" borderId="4" xfId="0" applyNumberFormat="1" applyFont="1" applyBorder="1" applyAlignment="1">
      <alignment horizontal="left" vertical="center"/>
    </xf>
    <xf numFmtId="176" fontId="21" fillId="0" borderId="26" xfId="0" applyNumberFormat="1" applyFont="1" applyBorder="1" applyAlignment="1">
      <alignment horizontal="right" vertical="center"/>
    </xf>
    <xf numFmtId="176" fontId="21" fillId="0" borderId="27" xfId="0" applyNumberFormat="1" applyFont="1" applyBorder="1" applyAlignment="1">
      <alignment horizontal="right" vertical="center"/>
    </xf>
    <xf numFmtId="43" fontId="21" fillId="0" borderId="27" xfId="0" applyNumberFormat="1" applyFont="1" applyBorder="1" applyAlignment="1">
      <alignment horizontal="right" vertical="center"/>
    </xf>
    <xf numFmtId="176" fontId="21" fillId="0" borderId="28" xfId="0" applyNumberFormat="1" applyFont="1" applyBorder="1" applyAlignment="1">
      <alignment horizontal="right" vertical="center"/>
    </xf>
    <xf numFmtId="0" fontId="18" fillId="0" borderId="9" xfId="0" applyFont="1" applyBorder="1">
      <alignment vertical="center"/>
    </xf>
    <xf numFmtId="176" fontId="20" fillId="0" borderId="1" xfId="0" applyNumberFormat="1" applyFont="1" applyBorder="1">
      <alignment vertical="center"/>
    </xf>
    <xf numFmtId="176" fontId="20" fillId="0" borderId="2" xfId="0" applyNumberFormat="1" applyFont="1" applyBorder="1">
      <alignment vertical="center"/>
    </xf>
    <xf numFmtId="43" fontId="22" fillId="0" borderId="2" xfId="3" applyNumberFormat="1" applyFont="1" applyBorder="1" applyAlignment="1">
      <alignment horizontal="right" vertical="center"/>
    </xf>
    <xf numFmtId="176" fontId="20" fillId="0" borderId="18" xfId="0" applyNumberFormat="1" applyFont="1" applyBorder="1">
      <alignment vertical="center"/>
    </xf>
    <xf numFmtId="43" fontId="20" fillId="0" borderId="2" xfId="0" applyNumberFormat="1" applyFont="1" applyBorder="1">
      <alignment vertical="center"/>
    </xf>
    <xf numFmtId="0" fontId="15" fillId="6" borderId="9" xfId="0" applyFont="1" applyFill="1" applyBorder="1">
      <alignment vertical="center"/>
    </xf>
    <xf numFmtId="176" fontId="15" fillId="6" borderId="1" xfId="0" applyNumberFormat="1" applyFont="1" applyFill="1" applyBorder="1" applyAlignment="1">
      <alignment horizontal="right" vertical="center"/>
    </xf>
    <xf numFmtId="43" fontId="15" fillId="6" borderId="2" xfId="0" applyNumberFormat="1" applyFont="1" applyFill="1" applyBorder="1" applyAlignment="1">
      <alignment horizontal="right" vertical="center"/>
    </xf>
    <xf numFmtId="180" fontId="15" fillId="6" borderId="2" xfId="0" applyNumberFormat="1" applyFont="1" applyFill="1" applyBorder="1" applyAlignment="1">
      <alignment horizontal="right" vertical="center"/>
    </xf>
    <xf numFmtId="180" fontId="15" fillId="6" borderId="18" xfId="0" applyNumberFormat="1" applyFont="1" applyFill="1" applyBorder="1" applyAlignment="1">
      <alignment horizontal="right" vertical="center"/>
    </xf>
    <xf numFmtId="0" fontId="15" fillId="4" borderId="29" xfId="0" applyFont="1" applyFill="1" applyBorder="1" applyAlignment="1">
      <alignment vertical="center" wrapText="1"/>
    </xf>
    <xf numFmtId="43" fontId="15" fillId="4" borderId="30" xfId="0" applyNumberFormat="1" applyFont="1" applyFill="1" applyBorder="1" applyAlignment="1">
      <alignment horizontal="right" vertical="center"/>
    </xf>
    <xf numFmtId="180" fontId="15" fillId="4" borderId="30" xfId="0" applyNumberFormat="1" applyFont="1" applyFill="1" applyBorder="1" applyAlignment="1">
      <alignment horizontal="right" vertical="center"/>
    </xf>
    <xf numFmtId="180" fontId="15" fillId="4" borderId="31" xfId="0" applyNumberFormat="1" applyFont="1" applyFill="1" applyBorder="1" applyAlignment="1">
      <alignment horizontal="right" vertical="center"/>
    </xf>
    <xf numFmtId="0" fontId="14" fillId="4" borderId="29" xfId="0" applyFont="1" applyFill="1" applyBorder="1" applyAlignment="1">
      <alignment horizontal="center" vertical="center" wrapText="1"/>
    </xf>
    <xf numFmtId="0" fontId="9" fillId="0" borderId="10" xfId="0" applyFont="1" applyBorder="1">
      <alignment vertical="center"/>
    </xf>
    <xf numFmtId="0" fontId="21" fillId="0" borderId="6" xfId="0" applyFont="1" applyBorder="1">
      <alignment vertical="center"/>
    </xf>
    <xf numFmtId="176" fontId="21" fillId="0" borderId="7" xfId="0" applyNumberFormat="1" applyFont="1" applyBorder="1">
      <alignment vertical="center"/>
    </xf>
    <xf numFmtId="0" fontId="21" fillId="0" borderId="7" xfId="0" applyFont="1" applyBorder="1">
      <alignment vertical="center"/>
    </xf>
    <xf numFmtId="0" fontId="21" fillId="0" borderId="8" xfId="0" applyFont="1" applyBorder="1">
      <alignment vertical="center"/>
    </xf>
    <xf numFmtId="176" fontId="13" fillId="0" borderId="0" xfId="0" applyNumberFormat="1" applyFont="1">
      <alignment vertical="center"/>
    </xf>
    <xf numFmtId="0" fontId="23" fillId="0" borderId="0" xfId="0" applyFont="1" applyAlignment="1">
      <alignment horizontal="justify" vertical="center"/>
    </xf>
    <xf numFmtId="0" fontId="23" fillId="0" borderId="0" xfId="0" applyFont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49"/>
  <sheetViews>
    <sheetView tabSelected="1" zoomScale="90" zoomScaleNormal="90" workbookViewId="0">
      <pane xSplit="2" ySplit="1" topLeftCell="C6" activePane="bottomRight" state="frozenSplit"/>
      <selection/>
      <selection pane="topRight"/>
      <selection pane="bottomLeft"/>
      <selection pane="bottomRight" activeCell="M13" sqref="M13"/>
    </sheetView>
  </sheetViews>
  <sheetFormatPr defaultColWidth="8.73148148148148" defaultRowHeight="12"/>
  <cols>
    <col min="1" max="1" width="5.81481481481481" style="36" customWidth="1"/>
    <col min="2" max="2" width="21.7222222222222" style="36" customWidth="1"/>
    <col min="3" max="14" width="12.6388888888889" style="36" customWidth="1"/>
    <col min="15" max="15" width="37.287037037037" style="36" customWidth="1"/>
    <col min="16" max="16" width="29.9907407407407" style="36" customWidth="1"/>
    <col min="17" max="17" width="23.7407407407407" style="36" customWidth="1"/>
    <col min="18" max="16384" width="8.73148148148148" style="36"/>
  </cols>
  <sheetData>
    <row r="1" s="32" customFormat="1" ht="13.95" spans="1:17">
      <c r="A1" s="37" t="s">
        <v>0</v>
      </c>
      <c r="B1" s="38" t="s">
        <v>1</v>
      </c>
      <c r="C1" s="39">
        <v>46023</v>
      </c>
      <c r="D1" s="40">
        <v>46054</v>
      </c>
      <c r="E1" s="40">
        <v>46082</v>
      </c>
      <c r="F1" s="40">
        <v>46113</v>
      </c>
      <c r="G1" s="40">
        <v>46143</v>
      </c>
      <c r="H1" s="40">
        <v>46174</v>
      </c>
      <c r="I1" s="40">
        <v>46204</v>
      </c>
      <c r="J1" s="40">
        <v>46235</v>
      </c>
      <c r="K1" s="40">
        <v>46266</v>
      </c>
      <c r="L1" s="40">
        <v>46296</v>
      </c>
      <c r="M1" s="40">
        <v>46327</v>
      </c>
      <c r="N1" s="41">
        <v>46357</v>
      </c>
      <c r="O1" s="32" t="s">
        <v>2</v>
      </c>
      <c r="P1" s="32" t="s">
        <v>3</v>
      </c>
      <c r="Q1" s="32" t="s">
        <v>4</v>
      </c>
    </row>
    <row r="2" ht="13.95" spans="1:17">
      <c r="A2" s="42"/>
      <c r="B2" s="43" t="s">
        <v>5</v>
      </c>
      <c r="C2" s="44">
        <v>20000</v>
      </c>
      <c r="D2" s="44">
        <f>C39</f>
        <v>20000</v>
      </c>
      <c r="E2" s="45">
        <f>D39</f>
        <v>20000</v>
      </c>
      <c r="F2" s="46">
        <f>E39</f>
        <v>20000</v>
      </c>
      <c r="G2" s="46">
        <f>F39</f>
        <v>20000</v>
      </c>
      <c r="H2" s="45">
        <f>G39</f>
        <v>20000</v>
      </c>
      <c r="I2" s="45"/>
      <c r="J2" s="45"/>
      <c r="K2" s="45"/>
      <c r="L2" s="45"/>
      <c r="M2" s="45"/>
      <c r="N2" s="47"/>
      <c r="O2" s="36" t="s">
        <v>6</v>
      </c>
      <c r="P2" s="36" t="s">
        <v>7</v>
      </c>
    </row>
    <row r="3" ht="13.2" spans="1:17">
      <c r="A3" s="48"/>
      <c r="B3" s="49" t="s">
        <v>8</v>
      </c>
      <c r="C3" s="50"/>
      <c r="D3" s="50"/>
      <c r="E3" s="51"/>
      <c r="F3" s="52"/>
      <c r="G3" s="52"/>
      <c r="H3" s="51"/>
      <c r="I3" s="51"/>
      <c r="J3" s="51"/>
      <c r="K3" s="51"/>
      <c r="L3" s="51"/>
      <c r="M3" s="51"/>
      <c r="N3" s="53"/>
    </row>
    <row r="4" ht="13.2" spans="1:17">
      <c r="A4" s="42"/>
      <c r="B4" s="54" t="s">
        <v>9</v>
      </c>
      <c r="C4" s="55"/>
      <c r="D4" s="55"/>
      <c r="E4" s="56"/>
      <c r="F4" s="57"/>
      <c r="G4" s="57"/>
      <c r="H4" s="56"/>
      <c r="I4" s="56"/>
      <c r="J4" s="56"/>
      <c r="K4" s="56"/>
      <c r="L4" s="56"/>
      <c r="M4" s="56"/>
      <c r="N4" s="58"/>
      <c r="O4" s="36" t="s">
        <v>10</v>
      </c>
      <c r="P4" s="36" t="s">
        <v>11</v>
      </c>
    </row>
    <row r="5" s="33" customFormat="1" ht="13.2" spans="1:17">
      <c r="A5" s="59"/>
      <c r="B5" s="60" t="s">
        <v>12</v>
      </c>
      <c r="C5" s="61"/>
      <c r="D5" s="61"/>
      <c r="E5" s="62"/>
      <c r="F5" s="63"/>
      <c r="G5" s="63"/>
      <c r="H5" s="62"/>
      <c r="I5" s="62"/>
      <c r="J5" s="62"/>
      <c r="K5" s="62"/>
      <c r="L5" s="62"/>
      <c r="M5" s="62"/>
      <c r="N5" s="64"/>
      <c r="O5" s="36" t="s">
        <v>13</v>
      </c>
      <c r="P5" s="36" t="s">
        <v>14</v>
      </c>
    </row>
    <row r="6" ht="13.95" spans="1:17">
      <c r="A6" s="42"/>
      <c r="B6" s="65" t="s">
        <v>15</v>
      </c>
      <c r="C6" s="66"/>
      <c r="D6" s="66"/>
      <c r="E6" s="67"/>
      <c r="F6" s="68"/>
      <c r="G6" s="68"/>
      <c r="H6" s="67"/>
      <c r="I6" s="67"/>
      <c r="J6" s="67"/>
      <c r="K6" s="67"/>
      <c r="L6" s="67"/>
      <c r="M6" s="67"/>
      <c r="N6" s="69"/>
    </row>
    <row r="7" ht="13.95" spans="1:17">
      <c r="A7" s="42"/>
      <c r="B7" s="70" t="s">
        <v>16</v>
      </c>
      <c r="C7" s="71">
        <f>C2+C4+C5+C6</f>
        <v>20000</v>
      </c>
      <c r="D7" s="71">
        <f>D2+D4+D5+D6</f>
        <v>20000</v>
      </c>
      <c r="E7" s="72">
        <f t="shared" ref="E7:J7" si="0">E2+E4+E5+E6</f>
        <v>20000</v>
      </c>
      <c r="F7" s="72">
        <f t="shared" si="0"/>
        <v>20000</v>
      </c>
      <c r="G7" s="72">
        <f t="shared" si="0"/>
        <v>20000</v>
      </c>
      <c r="H7" s="72">
        <f t="shared" si="0"/>
        <v>20000</v>
      </c>
      <c r="I7" s="73">
        <f t="shared" si="0"/>
        <v>0</v>
      </c>
      <c r="J7" s="73">
        <f t="shared" si="0"/>
        <v>0</v>
      </c>
      <c r="K7" s="73">
        <f t="shared" ref="K7:N7" si="1">K2+K4+K5+K6</f>
        <v>0</v>
      </c>
      <c r="L7" s="73">
        <f t="shared" si="1"/>
        <v>0</v>
      </c>
      <c r="M7" s="73">
        <f t="shared" si="1"/>
        <v>0</v>
      </c>
      <c r="N7" s="74">
        <f t="shared" si="1"/>
        <v>0</v>
      </c>
      <c r="O7" s="36" t="s">
        <v>6</v>
      </c>
    </row>
    <row r="8" s="34" customFormat="1" ht="13.2" spans="1:17">
      <c r="A8" s="75" t="s">
        <v>17</v>
      </c>
      <c r="B8" s="76" t="s">
        <v>18</v>
      </c>
      <c r="C8" s="77"/>
      <c r="D8" s="77"/>
      <c r="E8" s="78"/>
      <c r="F8" s="79"/>
      <c r="G8" s="79"/>
      <c r="H8" s="80"/>
      <c r="I8" s="78"/>
      <c r="J8" s="78"/>
      <c r="K8" s="78"/>
      <c r="L8" s="78"/>
      <c r="M8" s="81"/>
      <c r="N8" s="82"/>
      <c r="O8" s="34" t="s">
        <v>19</v>
      </c>
      <c r="P8" s="36" t="s">
        <v>20</v>
      </c>
    </row>
    <row r="9" s="34" customFormat="1" ht="13.2" spans="1:17">
      <c r="A9" s="75" t="s">
        <v>21</v>
      </c>
      <c r="B9" s="54" t="s">
        <v>22</v>
      </c>
      <c r="C9" s="83"/>
      <c r="D9" s="83"/>
      <c r="E9" s="84"/>
      <c r="F9" s="85"/>
      <c r="G9" s="85"/>
      <c r="H9" s="85"/>
      <c r="I9" s="84"/>
      <c r="J9" s="84"/>
      <c r="K9" s="84"/>
      <c r="L9" s="84"/>
      <c r="M9" s="86"/>
      <c r="N9" s="87"/>
      <c r="O9" s="34" t="s">
        <v>19</v>
      </c>
      <c r="P9" s="36" t="s">
        <v>23</v>
      </c>
    </row>
    <row r="10" s="34" customFormat="1" ht="13.2" spans="1:17">
      <c r="A10" s="75" t="s">
        <v>24</v>
      </c>
      <c r="B10" s="54" t="s">
        <v>25</v>
      </c>
      <c r="C10" s="88"/>
      <c r="D10" s="88"/>
      <c r="E10" s="84"/>
      <c r="F10" s="85"/>
      <c r="G10" s="85"/>
      <c r="H10" s="85"/>
      <c r="I10" s="84"/>
      <c r="J10" s="84"/>
      <c r="K10" s="84"/>
      <c r="L10" s="84"/>
      <c r="M10" s="89"/>
      <c r="N10" s="87"/>
      <c r="O10" s="34" t="s">
        <v>19</v>
      </c>
      <c r="P10" s="36" t="s">
        <v>26</v>
      </c>
    </row>
    <row r="11" s="34" customFormat="1" ht="13.2" spans="1:17">
      <c r="A11" s="75" t="s">
        <v>27</v>
      </c>
      <c r="B11" s="90" t="s">
        <v>28</v>
      </c>
      <c r="C11" s="91">
        <f>SUM(C12:C15)</f>
        <v>0</v>
      </c>
      <c r="D11" s="91">
        <f>SUM(D12:D15)</f>
        <v>0</v>
      </c>
      <c r="E11" s="92">
        <f t="shared" ref="E11:H11" si="2">SUM(E12:E15)</f>
        <v>0</v>
      </c>
      <c r="F11" s="92">
        <f t="shared" si="2"/>
        <v>0</v>
      </c>
      <c r="G11" s="92">
        <f t="shared" si="2"/>
        <v>0</v>
      </c>
      <c r="H11" s="92">
        <f t="shared" si="2"/>
        <v>2682.05</v>
      </c>
      <c r="I11" s="93">
        <f t="shared" ref="H11:N11" si="3">SUM(I12:I15)</f>
        <v>0</v>
      </c>
      <c r="J11" s="93">
        <f t="shared" si="3"/>
        <v>0</v>
      </c>
      <c r="K11" s="93">
        <f t="shared" si="3"/>
        <v>0</v>
      </c>
      <c r="L11" s="93">
        <f t="shared" si="3"/>
        <v>0</v>
      </c>
      <c r="M11" s="93">
        <f t="shared" si="3"/>
        <v>0</v>
      </c>
      <c r="N11" s="94">
        <f t="shared" si="3"/>
        <v>0</v>
      </c>
      <c r="O11" s="34" t="s">
        <v>6</v>
      </c>
      <c r="P11" s="36"/>
    </row>
    <row r="12" s="34" customFormat="1" ht="13.2" spans="1:17">
      <c r="A12" s="75" t="s">
        <v>29</v>
      </c>
      <c r="B12" s="95" t="s">
        <v>30</v>
      </c>
      <c r="C12" s="96"/>
      <c r="D12" s="96"/>
      <c r="E12" s="96"/>
      <c r="F12" s="85"/>
      <c r="G12" s="85"/>
      <c r="H12" s="85"/>
      <c r="I12" s="84"/>
      <c r="J12" s="84"/>
      <c r="K12" s="84"/>
      <c r="L12" s="84"/>
      <c r="M12" s="84"/>
      <c r="N12" s="87"/>
      <c r="O12" s="34" t="s">
        <v>19</v>
      </c>
      <c r="P12" s="36" t="s">
        <v>31</v>
      </c>
    </row>
    <row r="13" s="34" customFormat="1" ht="13.2" spans="1:17">
      <c r="A13" s="75" t="s">
        <v>32</v>
      </c>
      <c r="B13" s="95" t="s">
        <v>33</v>
      </c>
      <c r="C13" s="96"/>
      <c r="D13" s="96"/>
      <c r="E13" s="97"/>
      <c r="F13" s="85"/>
      <c r="G13" s="85"/>
      <c r="H13" s="98">
        <v>2682.05</v>
      </c>
      <c r="I13" s="97"/>
      <c r="J13" s="97"/>
      <c r="K13" s="97"/>
      <c r="L13" s="97"/>
      <c r="M13" s="97"/>
      <c r="N13" s="99"/>
      <c r="O13" s="34" t="s">
        <v>19</v>
      </c>
      <c r="P13" s="36" t="s">
        <v>34</v>
      </c>
    </row>
    <row r="14" s="34" customFormat="1" ht="13.2" spans="1:17">
      <c r="A14" s="75" t="s">
        <v>35</v>
      </c>
      <c r="B14" s="95" t="s">
        <v>36</v>
      </c>
      <c r="C14" s="96"/>
      <c r="D14" s="96"/>
      <c r="E14" s="97"/>
      <c r="F14" s="100"/>
      <c r="G14" s="100"/>
      <c r="H14" s="100"/>
      <c r="I14" s="97"/>
      <c r="J14" s="97"/>
      <c r="K14" s="97"/>
      <c r="L14" s="97"/>
      <c r="M14" s="97"/>
      <c r="N14" s="99"/>
      <c r="O14" s="34" t="s">
        <v>19</v>
      </c>
      <c r="P14" s="36" t="s">
        <v>37</v>
      </c>
    </row>
    <row r="15" s="34" customFormat="1" ht="13.2" spans="1:17">
      <c r="A15" s="75" t="s">
        <v>38</v>
      </c>
      <c r="B15" s="54" t="s">
        <v>39</v>
      </c>
      <c r="C15" s="101"/>
      <c r="D15" s="101"/>
      <c r="E15" s="100"/>
      <c r="F15" s="100"/>
      <c r="G15" s="100"/>
      <c r="H15" s="100"/>
      <c r="I15" s="100"/>
      <c r="J15" s="100"/>
      <c r="K15" s="100"/>
      <c r="L15" s="100"/>
      <c r="M15" s="100"/>
      <c r="N15" s="102"/>
      <c r="O15" s="34" t="s">
        <v>19</v>
      </c>
      <c r="P15" s="36" t="s">
        <v>40</v>
      </c>
      <c r="Q15" s="34" t="s">
        <v>41</v>
      </c>
    </row>
    <row r="16" s="35" customFormat="1" ht="13.2" spans="1:17">
      <c r="A16" s="75" t="s">
        <v>42</v>
      </c>
      <c r="B16" s="90" t="s">
        <v>43</v>
      </c>
      <c r="C16" s="91">
        <f>SUM(C8:C10)-C11</f>
        <v>0</v>
      </c>
      <c r="D16" s="91">
        <f>SUM(D8:D10)-D11</f>
        <v>0</v>
      </c>
      <c r="E16" s="92">
        <f>SUM(E8:E10)-E11</f>
        <v>0</v>
      </c>
      <c r="F16" s="92">
        <f>SUM(F8:F10)-F11</f>
        <v>0</v>
      </c>
      <c r="G16" s="92">
        <f t="shared" ref="G16:N16" si="4">SUM(G8:G10)-G11</f>
        <v>0</v>
      </c>
      <c r="H16" s="92">
        <f t="shared" si="4"/>
        <v>-2682.05</v>
      </c>
      <c r="I16" s="93">
        <f t="shared" si="4"/>
        <v>0</v>
      </c>
      <c r="J16" s="93">
        <f t="shared" si="4"/>
        <v>0</v>
      </c>
      <c r="K16" s="93">
        <f t="shared" si="4"/>
        <v>0</v>
      </c>
      <c r="L16" s="93">
        <f t="shared" si="4"/>
        <v>0</v>
      </c>
      <c r="M16" s="93">
        <f t="shared" si="4"/>
        <v>0</v>
      </c>
      <c r="N16" s="94">
        <f t="shared" si="4"/>
        <v>0</v>
      </c>
      <c r="O16" s="34" t="s">
        <v>6</v>
      </c>
      <c r="P16" s="36"/>
    </row>
    <row r="17" s="34" customFormat="1" ht="13.2" spans="1:16">
      <c r="A17" s="75"/>
      <c r="B17" s="103" t="s">
        <v>44</v>
      </c>
      <c r="C17" s="101"/>
      <c r="D17" s="101"/>
      <c r="E17" s="84"/>
      <c r="F17" s="85"/>
      <c r="G17" s="85"/>
      <c r="H17" s="85">
        <v>24.98</v>
      </c>
      <c r="I17" s="84"/>
      <c r="J17" s="84"/>
      <c r="K17" s="84"/>
      <c r="L17" s="84"/>
      <c r="M17" s="84"/>
      <c r="N17" s="87"/>
      <c r="O17" s="34" t="s">
        <v>19</v>
      </c>
      <c r="P17" s="36" t="s">
        <v>45</v>
      </c>
    </row>
    <row r="18" s="34" customFormat="1" ht="13.2" spans="1:16">
      <c r="A18" s="75"/>
      <c r="B18" s="103" t="s">
        <v>46</v>
      </c>
      <c r="C18" s="101"/>
      <c r="D18" s="101"/>
      <c r="E18" s="84"/>
      <c r="F18" s="85"/>
      <c r="G18" s="85"/>
      <c r="H18" s="85"/>
      <c r="I18" s="84"/>
      <c r="J18" s="84"/>
      <c r="K18" s="84"/>
      <c r="L18" s="84"/>
      <c r="M18" s="84"/>
      <c r="N18" s="87"/>
      <c r="P18" s="36"/>
    </row>
    <row r="19" s="34" customFormat="1" ht="13.2" spans="1:16">
      <c r="A19" s="75"/>
      <c r="B19" s="54" t="s">
        <v>47</v>
      </c>
      <c r="C19" s="101"/>
      <c r="D19" s="101"/>
      <c r="E19" s="84"/>
      <c r="F19" s="85"/>
      <c r="G19" s="85"/>
      <c r="H19" s="85"/>
      <c r="I19" s="84"/>
      <c r="J19" s="84"/>
      <c r="K19" s="84"/>
      <c r="L19" s="84"/>
      <c r="M19" s="84"/>
      <c r="N19" s="87"/>
      <c r="O19" s="34" t="s">
        <v>19</v>
      </c>
      <c r="P19" s="36" t="s">
        <v>48</v>
      </c>
    </row>
    <row r="20" s="34" customFormat="1" ht="13.2" spans="1:16">
      <c r="A20" s="75" t="s">
        <v>49</v>
      </c>
      <c r="B20" s="54" t="s">
        <v>50</v>
      </c>
      <c r="C20" s="96"/>
      <c r="D20" s="96"/>
      <c r="E20" s="97"/>
      <c r="F20" s="100"/>
      <c r="G20" s="100"/>
      <c r="H20" s="100">
        <v>382</v>
      </c>
      <c r="I20" s="97"/>
      <c r="J20" s="97"/>
      <c r="K20" s="97"/>
      <c r="L20" s="97"/>
      <c r="M20" s="97"/>
      <c r="N20" s="99"/>
      <c r="O20" s="34" t="s">
        <v>19</v>
      </c>
      <c r="P20" s="36" t="s">
        <v>51</v>
      </c>
    </row>
    <row r="21" ht="13.2" spans="1:16">
      <c r="A21" s="75" t="s">
        <v>52</v>
      </c>
      <c r="B21" s="103" t="s">
        <v>53</v>
      </c>
      <c r="C21" s="101"/>
      <c r="D21" s="101"/>
      <c r="E21" s="84"/>
      <c r="F21" s="85"/>
      <c r="G21" s="85"/>
      <c r="H21" s="85"/>
      <c r="I21" s="84"/>
      <c r="J21" s="84"/>
      <c r="K21" s="84"/>
      <c r="L21" s="84"/>
      <c r="M21" s="84"/>
      <c r="N21" s="87"/>
      <c r="O21" s="34" t="s">
        <v>19</v>
      </c>
      <c r="P21" s="36" t="s">
        <v>54</v>
      </c>
    </row>
    <row r="22" ht="13.2" spans="1:16">
      <c r="A22" s="42" t="s">
        <v>52</v>
      </c>
      <c r="B22" s="95" t="s">
        <v>55</v>
      </c>
      <c r="C22" s="96"/>
      <c r="D22" s="96"/>
      <c r="E22" s="96"/>
      <c r="F22" s="104"/>
      <c r="G22" s="104"/>
      <c r="H22" s="104">
        <v>850</v>
      </c>
      <c r="I22" s="97"/>
      <c r="J22" s="97"/>
      <c r="K22" s="97"/>
      <c r="L22" s="97"/>
      <c r="M22" s="97"/>
      <c r="N22" s="99"/>
      <c r="O22" s="34" t="s">
        <v>19</v>
      </c>
      <c r="P22" s="36" t="s">
        <v>56</v>
      </c>
    </row>
    <row r="23" ht="13.2" spans="1:16">
      <c r="A23" s="75"/>
      <c r="B23" s="95" t="s">
        <v>57</v>
      </c>
      <c r="C23" s="96"/>
      <c r="D23" s="96"/>
      <c r="E23" s="97"/>
      <c r="F23" s="100"/>
      <c r="G23" s="100"/>
      <c r="H23" s="100"/>
      <c r="I23" s="97"/>
      <c r="J23" s="97"/>
      <c r="K23" s="97"/>
      <c r="L23" s="97"/>
      <c r="M23" s="97"/>
      <c r="N23" s="99"/>
      <c r="O23" s="34" t="s">
        <v>19</v>
      </c>
      <c r="P23" s="36" t="s">
        <v>58</v>
      </c>
    </row>
    <row r="24" s="32" customFormat="1" ht="13.95" spans="1:16">
      <c r="A24" s="42"/>
      <c r="B24" s="105" t="s">
        <v>59</v>
      </c>
      <c r="C24" s="106">
        <f>SUM(C17:C20)-SUM(C21:C23)</f>
        <v>0</v>
      </c>
      <c r="D24" s="106">
        <f>SUM(D17:D20)-SUM(D21:D23)</f>
        <v>0</v>
      </c>
      <c r="E24" s="107">
        <f t="shared" ref="E24:N24" si="5">SUM(E17:E20)-SUM(E21:E23)</f>
        <v>0</v>
      </c>
      <c r="F24" s="107">
        <f t="shared" si="5"/>
        <v>0</v>
      </c>
      <c r="G24" s="107">
        <f t="shared" si="5"/>
        <v>0</v>
      </c>
      <c r="H24" s="107">
        <f t="shared" si="5"/>
        <v>-443.02</v>
      </c>
      <c r="I24" s="108">
        <f t="shared" si="5"/>
        <v>0</v>
      </c>
      <c r="J24" s="108">
        <f t="shared" si="5"/>
        <v>0</v>
      </c>
      <c r="K24" s="108">
        <f t="shared" si="5"/>
        <v>0</v>
      </c>
      <c r="L24" s="108">
        <f t="shared" si="5"/>
        <v>0</v>
      </c>
      <c r="M24" s="108">
        <f t="shared" si="5"/>
        <v>0</v>
      </c>
      <c r="N24" s="109">
        <f t="shared" si="5"/>
        <v>0</v>
      </c>
      <c r="O24" s="34" t="s">
        <v>6</v>
      </c>
    </row>
    <row r="25" ht="13.95" spans="1:16">
      <c r="A25" s="42"/>
      <c r="B25" s="110" t="s">
        <v>60</v>
      </c>
      <c r="C25" s="111">
        <f t="shared" ref="C25:H25" si="6">C7+C16+C24</f>
        <v>20000</v>
      </c>
      <c r="D25" s="111">
        <f t="shared" si="6"/>
        <v>20000</v>
      </c>
      <c r="E25" s="112">
        <f t="shared" si="6"/>
        <v>20000</v>
      </c>
      <c r="F25" s="112">
        <f t="shared" si="6"/>
        <v>20000</v>
      </c>
      <c r="G25" s="112">
        <f t="shared" si="6"/>
        <v>20000</v>
      </c>
      <c r="H25" s="113">
        <f t="shared" si="6"/>
        <v>16874.93</v>
      </c>
      <c r="I25" s="114">
        <f t="shared" ref="G25:N25" si="7">I7+I16+I24</f>
        <v>0</v>
      </c>
      <c r="J25" s="114">
        <f t="shared" si="7"/>
        <v>0</v>
      </c>
      <c r="K25" s="114">
        <f t="shared" si="7"/>
        <v>0</v>
      </c>
      <c r="L25" s="114">
        <f t="shared" si="7"/>
        <v>0</v>
      </c>
      <c r="M25" s="114">
        <f t="shared" si="7"/>
        <v>0</v>
      </c>
      <c r="N25" s="115">
        <f t="shared" si="7"/>
        <v>0</v>
      </c>
      <c r="O25" s="34" t="s">
        <v>6</v>
      </c>
    </row>
    <row r="26" ht="13.2" spans="1:16">
      <c r="A26" s="42"/>
      <c r="B26" s="116" t="s">
        <v>61</v>
      </c>
      <c r="C26" s="117"/>
      <c r="D26" s="117"/>
      <c r="E26" s="118"/>
      <c r="F26" s="119"/>
      <c r="G26" s="119"/>
      <c r="H26" s="118"/>
      <c r="I26" s="118"/>
      <c r="J26" s="118"/>
      <c r="K26" s="118"/>
      <c r="L26" s="118"/>
      <c r="M26" s="118"/>
      <c r="N26" s="120"/>
      <c r="O26" s="36" t="s">
        <v>10</v>
      </c>
      <c r="P26" s="36" t="s">
        <v>62</v>
      </c>
    </row>
    <row r="27" s="33" customFormat="1" ht="13.2" spans="1:16">
      <c r="A27" s="59"/>
      <c r="B27" s="60" t="s">
        <v>63</v>
      </c>
      <c r="C27" s="61"/>
      <c r="D27" s="61"/>
      <c r="E27" s="62"/>
      <c r="F27" s="63"/>
      <c r="G27" s="63"/>
      <c r="H27" s="62"/>
      <c r="I27" s="62"/>
      <c r="J27" s="62"/>
      <c r="K27" s="62"/>
      <c r="L27" s="62"/>
      <c r="M27" s="62"/>
      <c r="N27" s="64"/>
      <c r="O27" s="36" t="s">
        <v>13</v>
      </c>
      <c r="P27" s="36" t="s">
        <v>64</v>
      </c>
    </row>
    <row r="28" ht="13.2" spans="1:16">
      <c r="A28" s="42"/>
      <c r="B28" s="54" t="s">
        <v>65</v>
      </c>
      <c r="C28" s="55"/>
      <c r="D28" s="55"/>
      <c r="E28" s="56"/>
      <c r="F28" s="57"/>
      <c r="G28" s="57"/>
      <c r="H28" s="56"/>
      <c r="I28" s="56"/>
      <c r="J28" s="56"/>
      <c r="K28" s="56"/>
      <c r="L28" s="56"/>
      <c r="M28" s="56"/>
      <c r="N28" s="58"/>
    </row>
    <row r="29" ht="13.2" spans="1:16">
      <c r="A29" s="42"/>
      <c r="B29" s="121" t="s">
        <v>66</v>
      </c>
      <c r="C29" s="122">
        <f>C25-C26-C27-C28</f>
        <v>20000</v>
      </c>
      <c r="D29" s="122">
        <f>D25-D26-D27-D28</f>
        <v>20000</v>
      </c>
      <c r="E29" s="123">
        <f t="shared" ref="E29:N29" si="8">E25-E26-E27-E28</f>
        <v>20000</v>
      </c>
      <c r="F29" s="123">
        <f t="shared" si="8"/>
        <v>20000</v>
      </c>
      <c r="G29" s="123">
        <f t="shared" si="8"/>
        <v>20000</v>
      </c>
      <c r="H29" s="123">
        <f t="shared" si="8"/>
        <v>16874.93</v>
      </c>
      <c r="I29" s="124">
        <f t="shared" si="8"/>
        <v>0</v>
      </c>
      <c r="J29" s="124">
        <f t="shared" si="8"/>
        <v>0</v>
      </c>
      <c r="K29" s="124">
        <f t="shared" si="8"/>
        <v>0</v>
      </c>
      <c r="L29" s="124">
        <f t="shared" si="8"/>
        <v>0</v>
      </c>
      <c r="M29" s="124">
        <f t="shared" si="8"/>
        <v>0</v>
      </c>
      <c r="N29" s="125">
        <f t="shared" si="8"/>
        <v>0</v>
      </c>
      <c r="O29" s="34" t="s">
        <v>6</v>
      </c>
    </row>
    <row r="30" ht="13.2" spans="1:16">
      <c r="A30" s="42"/>
      <c r="B30" s="54" t="s">
        <v>67</v>
      </c>
      <c r="C30" s="55">
        <f>0+C23-C19</f>
        <v>0</v>
      </c>
      <c r="D30" s="55">
        <f>C30+D23-D19</f>
        <v>0</v>
      </c>
      <c r="E30" s="126">
        <f t="shared" ref="E30:N30" si="9">D30+E23-E19</f>
        <v>0</v>
      </c>
      <c r="F30" s="57">
        <f t="shared" si="9"/>
        <v>0</v>
      </c>
      <c r="G30" s="57">
        <f t="shared" si="9"/>
        <v>0</v>
      </c>
      <c r="H30" s="126">
        <f t="shared" si="9"/>
        <v>0</v>
      </c>
      <c r="I30" s="126">
        <f t="shared" si="9"/>
        <v>0</v>
      </c>
      <c r="J30" s="126">
        <f t="shared" si="9"/>
        <v>0</v>
      </c>
      <c r="K30" s="126">
        <f t="shared" si="9"/>
        <v>0</v>
      </c>
      <c r="L30" s="126">
        <f t="shared" si="9"/>
        <v>0</v>
      </c>
      <c r="M30" s="126">
        <f t="shared" si="9"/>
        <v>0</v>
      </c>
      <c r="N30" s="127">
        <f t="shared" si="9"/>
        <v>0</v>
      </c>
      <c r="O30" s="34" t="s">
        <v>6</v>
      </c>
    </row>
    <row r="31" ht="13.95" spans="1:16">
      <c r="A31" s="42"/>
      <c r="B31" s="128" t="s">
        <v>68</v>
      </c>
      <c r="C31" s="129"/>
      <c r="D31" s="129"/>
      <c r="E31" s="130"/>
      <c r="F31" s="131"/>
      <c r="G31" s="131"/>
      <c r="H31" s="130"/>
      <c r="I31" s="130"/>
      <c r="J31" s="130"/>
      <c r="K31" s="130"/>
      <c r="L31" s="130"/>
      <c r="M31" s="130"/>
      <c r="N31" s="132"/>
    </row>
    <row r="32" ht="13.95" spans="1:16">
      <c r="A32" s="42"/>
      <c r="B32" s="133" t="s">
        <v>69</v>
      </c>
      <c r="C32" s="134">
        <f>50000-C22+C20</f>
        <v>50000</v>
      </c>
      <c r="D32" s="134">
        <f>C32-D22+D20</f>
        <v>50000</v>
      </c>
      <c r="E32" s="134">
        <f>D32-E22+E20</f>
        <v>50000</v>
      </c>
      <c r="F32" s="135">
        <f>E32-F22+F20</f>
        <v>50000</v>
      </c>
      <c r="G32" s="135">
        <f t="shared" ref="G32:N32" si="10">F32-G22+G20</f>
        <v>50000</v>
      </c>
      <c r="H32" s="135">
        <f t="shared" si="10"/>
        <v>49532</v>
      </c>
      <c r="I32" s="136">
        <f t="shared" si="10"/>
        <v>49532</v>
      </c>
      <c r="J32" s="136">
        <f t="shared" si="10"/>
        <v>49532</v>
      </c>
      <c r="K32" s="136">
        <f t="shared" si="10"/>
        <v>49532</v>
      </c>
      <c r="L32" s="136">
        <f t="shared" si="10"/>
        <v>49532</v>
      </c>
      <c r="M32" s="136">
        <f t="shared" si="10"/>
        <v>49532</v>
      </c>
      <c r="N32" s="137">
        <f t="shared" si="10"/>
        <v>49532</v>
      </c>
      <c r="O32" s="34" t="s">
        <v>6</v>
      </c>
    </row>
    <row r="33" ht="13.95" spans="1:17">
      <c r="A33" s="42"/>
      <c r="B33" s="38" t="s">
        <v>70</v>
      </c>
      <c r="C33" s="138">
        <f>C1</f>
        <v>46023</v>
      </c>
      <c r="D33" s="138">
        <f t="shared" ref="D33:N33" si="11">D1</f>
        <v>46054</v>
      </c>
      <c r="E33" s="139">
        <f t="shared" si="11"/>
        <v>46082</v>
      </c>
      <c r="F33" s="139">
        <f t="shared" si="11"/>
        <v>46113</v>
      </c>
      <c r="G33" s="139">
        <f t="shared" si="11"/>
        <v>46143</v>
      </c>
      <c r="H33" s="139">
        <f t="shared" si="11"/>
        <v>46174</v>
      </c>
      <c r="I33" s="139">
        <f t="shared" si="11"/>
        <v>46204</v>
      </c>
      <c r="J33" s="139">
        <f t="shared" si="11"/>
        <v>46235</v>
      </c>
      <c r="K33" s="139">
        <f t="shared" si="11"/>
        <v>46266</v>
      </c>
      <c r="L33" s="139">
        <f t="shared" si="11"/>
        <v>46296</v>
      </c>
      <c r="M33" s="139">
        <f t="shared" si="11"/>
        <v>46327</v>
      </c>
      <c r="N33" s="140">
        <f t="shared" si="11"/>
        <v>46357</v>
      </c>
    </row>
    <row r="34" ht="13.2" spans="1:17">
      <c r="A34" s="141"/>
      <c r="B34" s="142" t="s">
        <v>71</v>
      </c>
      <c r="C34" s="143"/>
      <c r="D34" s="143"/>
      <c r="E34" s="144"/>
      <c r="F34" s="145"/>
      <c r="G34" s="144"/>
      <c r="H34" s="144"/>
      <c r="I34" s="144"/>
      <c r="J34" s="144"/>
      <c r="K34" s="144"/>
      <c r="L34" s="144"/>
      <c r="M34" s="144"/>
      <c r="N34" s="146"/>
      <c r="O34" s="34" t="s">
        <v>19</v>
      </c>
      <c r="P34" s="36" t="s">
        <v>72</v>
      </c>
      <c r="Q34" s="36" t="s">
        <v>73</v>
      </c>
    </row>
    <row r="35" ht="13.2" spans="1:17">
      <c r="A35" s="59"/>
      <c r="B35" s="147" t="s">
        <v>74</v>
      </c>
      <c r="C35" s="148"/>
      <c r="D35" s="148"/>
      <c r="E35" s="149"/>
      <c r="F35" s="150"/>
      <c r="G35" s="150"/>
      <c r="H35" s="149"/>
      <c r="I35" s="149"/>
      <c r="J35" s="149"/>
      <c r="K35" s="149"/>
      <c r="L35" s="149"/>
      <c r="M35" s="149"/>
      <c r="N35" s="151"/>
    </row>
    <row r="36" ht="13.2" spans="1:17">
      <c r="A36" s="75" t="s">
        <v>75</v>
      </c>
      <c r="B36" s="147" t="s">
        <v>76</v>
      </c>
      <c r="C36" s="148"/>
      <c r="D36" s="148"/>
      <c r="E36" s="149"/>
      <c r="F36" s="152"/>
      <c r="G36" s="152"/>
      <c r="H36" s="149"/>
      <c r="I36" s="149"/>
      <c r="J36" s="149"/>
      <c r="K36" s="149"/>
      <c r="L36" s="149"/>
      <c r="M36" s="149"/>
      <c r="N36" s="151"/>
    </row>
    <row r="37" ht="13.2" spans="1:17">
      <c r="A37" s="59"/>
      <c r="B37" s="147" t="s">
        <v>77</v>
      </c>
      <c r="C37" s="148"/>
      <c r="D37" s="148"/>
      <c r="E37" s="149"/>
      <c r="F37" s="152"/>
      <c r="G37" s="152"/>
      <c r="H37" s="149"/>
      <c r="I37" s="149"/>
      <c r="J37" s="149"/>
      <c r="K37" s="149"/>
      <c r="L37" s="149"/>
      <c r="M37" s="149"/>
      <c r="N37" s="151"/>
    </row>
    <row r="38" ht="13.2" spans="1:17">
      <c r="A38" s="141"/>
      <c r="B38" s="153" t="s">
        <v>78</v>
      </c>
      <c r="C38" s="154">
        <f t="shared" ref="C38:H38" si="12">C25-C34+C35</f>
        <v>20000</v>
      </c>
      <c r="D38" s="154">
        <f t="shared" si="12"/>
        <v>20000</v>
      </c>
      <c r="E38" s="155">
        <f t="shared" si="12"/>
        <v>20000</v>
      </c>
      <c r="F38" s="155">
        <f t="shared" si="12"/>
        <v>20000</v>
      </c>
      <c r="G38" s="155">
        <f t="shared" si="12"/>
        <v>20000</v>
      </c>
      <c r="H38" s="155">
        <f t="shared" si="12"/>
        <v>16874.93</v>
      </c>
      <c r="I38" s="156">
        <f t="shared" ref="G38:N38" si="13">I25-I34+I35</f>
        <v>0</v>
      </c>
      <c r="J38" s="156">
        <f t="shared" si="13"/>
        <v>0</v>
      </c>
      <c r="K38" s="156">
        <f t="shared" si="13"/>
        <v>0</v>
      </c>
      <c r="L38" s="156">
        <f t="shared" si="13"/>
        <v>0</v>
      </c>
      <c r="M38" s="156">
        <f t="shared" si="13"/>
        <v>0</v>
      </c>
      <c r="N38" s="157">
        <f t="shared" si="13"/>
        <v>0</v>
      </c>
      <c r="O38" s="34" t="s">
        <v>6</v>
      </c>
    </row>
    <row r="39" ht="13.95" spans="1:17">
      <c r="A39" s="75"/>
      <c r="B39" s="158" t="s">
        <v>79</v>
      </c>
      <c r="C39" s="44">
        <f t="shared" ref="C39:H39" si="14">C29-C34+C35</f>
        <v>20000</v>
      </c>
      <c r="D39" s="44">
        <f t="shared" si="14"/>
        <v>20000</v>
      </c>
      <c r="E39" s="159">
        <f t="shared" si="14"/>
        <v>20000</v>
      </c>
      <c r="F39" s="159">
        <f t="shared" si="14"/>
        <v>20000</v>
      </c>
      <c r="G39" s="159">
        <f t="shared" si="14"/>
        <v>20000</v>
      </c>
      <c r="H39" s="159">
        <f t="shared" si="14"/>
        <v>16874.93</v>
      </c>
      <c r="I39" s="160">
        <f t="shared" ref="G39:N39" si="15">I29-I34+I35</f>
        <v>0</v>
      </c>
      <c r="J39" s="160">
        <f t="shared" si="15"/>
        <v>0</v>
      </c>
      <c r="K39" s="160">
        <f t="shared" si="15"/>
        <v>0</v>
      </c>
      <c r="L39" s="160">
        <f t="shared" si="15"/>
        <v>0</v>
      </c>
      <c r="M39" s="160">
        <f t="shared" si="15"/>
        <v>0</v>
      </c>
      <c r="N39" s="161">
        <f t="shared" si="15"/>
        <v>0</v>
      </c>
      <c r="O39" s="34" t="s">
        <v>6</v>
      </c>
    </row>
    <row r="40" ht="27.15" spans="1:17">
      <c r="A40" s="162" t="s">
        <v>80</v>
      </c>
      <c r="B40" s="163" t="s">
        <v>81</v>
      </c>
      <c r="C40" s="164"/>
      <c r="D40" s="165"/>
      <c r="E40" s="166"/>
      <c r="F40" s="166"/>
      <c r="G40" s="166"/>
      <c r="H40" s="166"/>
      <c r="I40" s="166"/>
      <c r="J40" s="166"/>
      <c r="K40" s="166"/>
      <c r="L40" s="166"/>
      <c r="M40" s="166"/>
      <c r="N40" s="167"/>
    </row>
    <row r="41" spans="1:17">
      <c r="C41" s="168"/>
    </row>
    <row r="45" ht="57.6" spans="1:17">
      <c r="B45" s="169" t="s">
        <v>82</v>
      </c>
    </row>
    <row r="46" ht="28.8" spans="1:17">
      <c r="B46" s="170" t="s">
        <v>83</v>
      </c>
    </row>
    <row r="47" ht="28.8" spans="1:17">
      <c r="B47" s="170" t="s">
        <v>84</v>
      </c>
    </row>
    <row r="48" ht="28.8" spans="1:17">
      <c r="B48" s="170" t="s">
        <v>85</v>
      </c>
    </row>
    <row r="49" ht="28.8" spans="2:2">
      <c r="B49" s="170" t="s">
        <v>86</v>
      </c>
    </row>
  </sheetData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E16" sqref="E16"/>
    </sheetView>
  </sheetViews>
  <sheetFormatPr defaultColWidth="8.73148148148148" defaultRowHeight="14.4"/>
  <sheetData>
    <row r="1" spans="1:1">
      <c r="A1" t="s">
        <v>87</v>
      </c>
    </row>
    <row r="2" spans="1:1">
      <c r="A2" t="s">
        <v>88</v>
      </c>
    </row>
    <row r="3" spans="1:1">
      <c r="A3" t="s">
        <v>89</v>
      </c>
    </row>
    <row r="4" spans="1:1">
      <c r="A4" t="s">
        <v>90</v>
      </c>
    </row>
    <row r="5" spans="1:1">
      <c r="A5" t="s">
        <v>91</v>
      </c>
    </row>
    <row r="6" spans="1:1">
      <c r="A6" t="s">
        <v>92</v>
      </c>
    </row>
    <row r="7" spans="1:1">
      <c r="A7" t="s">
        <v>93</v>
      </c>
    </row>
    <row r="8" spans="1:1">
      <c r="A8" s="31" t="s">
        <v>94</v>
      </c>
    </row>
    <row r="9" spans="1:1">
      <c r="A9" s="31" t="s">
        <v>95</v>
      </c>
    </row>
    <row r="10" spans="1:1">
      <c r="A10" s="31" t="s">
        <v>96</v>
      </c>
    </row>
    <row r="11" spans="1:1">
      <c r="A11" t="s">
        <v>97</v>
      </c>
    </row>
    <row r="12" spans="1:1">
      <c r="A12" t="s">
        <v>98</v>
      </c>
    </row>
    <row r="13" spans="1:1">
      <c r="A13" t="s">
        <v>99</v>
      </c>
    </row>
    <row r="14" spans="1:1">
      <c r="A14" t="s">
        <v>100</v>
      </c>
    </row>
    <row r="15" spans="1:1">
      <c r="A15" t="s">
        <v>101</v>
      </c>
    </row>
    <row r="16" spans="1:1">
      <c r="A16" t="s">
        <v>102</v>
      </c>
    </row>
    <row r="17" spans="1:1">
      <c r="A17" t="s">
        <v>103</v>
      </c>
    </row>
    <row r="18" spans="1:1">
      <c r="A18" t="s">
        <v>104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zoomScale="110" zoomScaleNormal="110" workbookViewId="0">
      <selection activeCell="D33" sqref="D33"/>
    </sheetView>
  </sheetViews>
  <sheetFormatPr defaultColWidth="8.73148148148148" defaultRowHeight="11.4" outlineLevelCol="7"/>
  <cols>
    <col min="1" max="1" width="8.5462962962963" style="19" customWidth="1"/>
    <col min="2" max="2" width="10.5" style="19" customWidth="1"/>
    <col min="3" max="3" width="10.2685185185185" style="19" customWidth="1"/>
    <col min="4" max="4" width="10.4537037037037" style="19" customWidth="1"/>
    <col min="5" max="5" width="43.1851851851852" style="20" customWidth="1"/>
    <col min="6" max="6" width="13.6388888888889" style="19" customWidth="1"/>
    <col min="7" max="7" width="13.2222222222222" style="21" customWidth="1"/>
    <col min="8" max="8" width="20.75" style="19" customWidth="1"/>
    <col min="9" max="11" width="25.4537037037037" style="19" customWidth="1"/>
    <col min="12" max="16383" width="8.73148148148148" style="19"/>
  </cols>
  <sheetData>
    <row r="1" s="18" customFormat="1" ht="16" customHeight="1" spans="1:8">
      <c r="A1" s="22" t="s">
        <v>105</v>
      </c>
      <c r="B1" s="23" t="s">
        <v>106</v>
      </c>
      <c r="C1" s="24" t="s">
        <v>107</v>
      </c>
      <c r="D1" s="23" t="s">
        <v>108</v>
      </c>
      <c r="E1" s="25" t="s">
        <v>109</v>
      </c>
      <c r="F1" s="25" t="s">
        <v>110</v>
      </c>
      <c r="G1" s="26" t="s">
        <v>111</v>
      </c>
      <c r="H1" s="27" t="s">
        <v>112</v>
      </c>
    </row>
    <row r="2" spans="1:8">
      <c r="A2" s="28">
        <v>46174</v>
      </c>
      <c r="B2" s="28" t="s">
        <v>27</v>
      </c>
      <c r="C2" s="28" t="s">
        <v>113</v>
      </c>
      <c r="D2" s="28" t="s">
        <v>114</v>
      </c>
      <c r="E2" s="29" t="s">
        <v>115</v>
      </c>
      <c r="F2" s="28" t="s">
        <v>116</v>
      </c>
      <c r="G2" s="30">
        <v>100</v>
      </c>
      <c r="H2" s="28" t="s">
        <v>117</v>
      </c>
    </row>
    <row r="3" spans="1:8">
      <c r="A3" s="28">
        <v>46174</v>
      </c>
      <c r="B3" s="28" t="s">
        <v>42</v>
      </c>
      <c r="C3" s="28" t="s">
        <v>113</v>
      </c>
      <c r="D3" s="28" t="s">
        <v>118</v>
      </c>
      <c r="E3" s="29" t="s">
        <v>115</v>
      </c>
      <c r="F3" s="28" t="s">
        <v>116</v>
      </c>
      <c r="G3" s="30">
        <v>900</v>
      </c>
      <c r="H3" s="28" t="s">
        <v>117</v>
      </c>
    </row>
    <row r="4" spans="1:8">
      <c r="A4" s="28">
        <v>46174</v>
      </c>
      <c r="B4" s="28" t="s">
        <v>49</v>
      </c>
      <c r="C4" s="28" t="s">
        <v>113</v>
      </c>
      <c r="D4" s="28" t="s">
        <v>119</v>
      </c>
      <c r="E4" s="29" t="s">
        <v>120</v>
      </c>
      <c r="F4" s="28" t="s">
        <v>116</v>
      </c>
      <c r="G4" s="30">
        <v>10</v>
      </c>
      <c r="H4" s="28" t="s">
        <v>117</v>
      </c>
    </row>
    <row r="5" spans="1:8">
      <c r="A5" s="28">
        <v>46174</v>
      </c>
      <c r="B5" s="28" t="s">
        <v>121</v>
      </c>
      <c r="C5" s="28" t="s">
        <v>122</v>
      </c>
      <c r="D5" s="28" t="s">
        <v>123</v>
      </c>
      <c r="E5" s="29" t="s">
        <v>124</v>
      </c>
      <c r="F5" s="28" t="s">
        <v>125</v>
      </c>
      <c r="G5" s="30">
        <v>300</v>
      </c>
      <c r="H5" s="28" t="s">
        <v>117</v>
      </c>
    </row>
    <row r="6" spans="1:8">
      <c r="A6" s="28">
        <v>46174</v>
      </c>
      <c r="B6" s="28" t="s">
        <v>27</v>
      </c>
      <c r="C6" s="28" t="s">
        <v>113</v>
      </c>
      <c r="D6" s="28" t="s">
        <v>126</v>
      </c>
      <c r="E6" s="29" t="s">
        <v>115</v>
      </c>
      <c r="F6" s="28" t="s">
        <v>116</v>
      </c>
      <c r="G6" s="30">
        <v>10</v>
      </c>
      <c r="H6" s="28" t="s">
        <v>117</v>
      </c>
    </row>
    <row r="7" spans="1:8">
      <c r="A7" s="28">
        <v>46174</v>
      </c>
      <c r="B7" s="28" t="s">
        <v>42</v>
      </c>
      <c r="C7" s="28" t="s">
        <v>113</v>
      </c>
      <c r="D7" s="28" t="s">
        <v>127</v>
      </c>
      <c r="E7" s="29" t="s">
        <v>128</v>
      </c>
      <c r="F7" s="28" t="s">
        <v>116</v>
      </c>
      <c r="G7" s="30">
        <v>10</v>
      </c>
      <c r="H7" s="28" t="s">
        <v>117</v>
      </c>
    </row>
    <row r="8" ht="12" customHeight="1" spans="1:8">
      <c r="A8" s="28">
        <v>46174</v>
      </c>
      <c r="B8" s="28" t="s">
        <v>49</v>
      </c>
      <c r="C8" s="28" t="s">
        <v>129</v>
      </c>
      <c r="D8" s="28" t="s">
        <v>130</v>
      </c>
      <c r="E8" s="29" t="s">
        <v>131</v>
      </c>
      <c r="F8" s="28" t="s">
        <v>132</v>
      </c>
      <c r="G8" s="30">
        <v>3</v>
      </c>
      <c r="H8" s="28" t="s">
        <v>117</v>
      </c>
    </row>
    <row r="9" spans="1:8">
      <c r="A9" s="28">
        <v>46174</v>
      </c>
      <c r="B9" s="28" t="s">
        <v>49</v>
      </c>
      <c r="C9" s="28" t="s">
        <v>129</v>
      </c>
      <c r="D9" s="28" t="s">
        <v>130</v>
      </c>
      <c r="E9" s="29" t="s">
        <v>98</v>
      </c>
      <c r="F9" s="28" t="s">
        <v>132</v>
      </c>
      <c r="G9" s="30">
        <v>6</v>
      </c>
      <c r="H9" s="28" t="s">
        <v>117</v>
      </c>
    </row>
  </sheetData>
  <autoFilter xmlns:etc="http://www.wps.cn/officeDocument/2017/etCustomData" ref="A1:I9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zoomScale="80" zoomScaleNormal="80" topLeftCell="A21" workbookViewId="0">
      <selection activeCell="B24" sqref="B24"/>
    </sheetView>
  </sheetViews>
  <sheetFormatPr defaultColWidth="8.73148148148148" defaultRowHeight="14.4" outlineLevelCol="4"/>
  <cols>
    <col min="1" max="1" width="93.75" customWidth="1"/>
    <col min="2" max="2" width="40" customWidth="1"/>
    <col min="3" max="3" width="29.3055555555556" customWidth="1"/>
  </cols>
  <sheetData>
    <row r="1" spans="1:3">
      <c r="A1" s="1" t="s">
        <v>133</v>
      </c>
    </row>
    <row r="2" spans="1:3">
      <c r="A2" s="1" t="s">
        <v>134</v>
      </c>
    </row>
    <row r="3" spans="1:3">
      <c r="A3" s="2" t="s">
        <v>135</v>
      </c>
      <c r="B3" s="3">
        <v>69.887979</v>
      </c>
    </row>
    <row r="4" spans="1:3">
      <c r="A4" s="2" t="s">
        <v>136</v>
      </c>
      <c r="B4" s="3">
        <v>2316.729518</v>
      </c>
    </row>
    <row r="5" spans="1:3">
      <c r="A5" s="2" t="s">
        <v>137</v>
      </c>
      <c r="B5" s="3">
        <v>7.309827</v>
      </c>
    </row>
    <row r="6" spans="1:3">
      <c r="A6" s="2" t="s">
        <v>138</v>
      </c>
      <c r="B6" s="3">
        <v>48.79832</v>
      </c>
    </row>
    <row r="7" spans="1:3">
      <c r="A7" s="2" t="s">
        <v>139</v>
      </c>
      <c r="B7" s="3">
        <v>0.475318</v>
      </c>
    </row>
    <row r="8" spans="1:3">
      <c r="A8" s="2" t="s">
        <v>140</v>
      </c>
      <c r="B8" s="3">
        <v>181.162006</v>
      </c>
    </row>
    <row r="9" spans="1:3">
      <c r="A9" s="2" t="s">
        <v>141</v>
      </c>
      <c r="B9" s="3">
        <v>57.69</v>
      </c>
    </row>
    <row r="10" spans="1:3">
      <c r="A10" s="4"/>
      <c r="B10" s="5">
        <f>SUM(B3:B9)</f>
        <v>2682.052968</v>
      </c>
    </row>
    <row r="11" spans="1:3">
      <c r="A11" s="1" t="s">
        <v>142</v>
      </c>
    </row>
    <row r="12" spans="1:3">
      <c r="A12" s="6" t="s">
        <v>33</v>
      </c>
      <c r="B12" s="7">
        <f>B13+B14+B17+B20</f>
        <v>2682.052968</v>
      </c>
      <c r="C12" s="8" t="s">
        <v>143</v>
      </c>
    </row>
    <row r="13" spans="1:3">
      <c r="A13" s="9" t="s">
        <v>144</v>
      </c>
      <c r="B13" s="10">
        <f>B3</f>
        <v>69.887979</v>
      </c>
      <c r="C13" s="8"/>
    </row>
    <row r="14" spans="1:3">
      <c r="A14" s="9" t="s">
        <v>145</v>
      </c>
      <c r="B14" s="10">
        <f>B5+B6+B7+B8</f>
        <v>237.745471</v>
      </c>
      <c r="C14" s="8" t="s">
        <v>146</v>
      </c>
    </row>
    <row r="15" spans="1:3">
      <c r="A15" s="11" t="s">
        <v>147</v>
      </c>
      <c r="B15" s="10">
        <f>B8</f>
        <v>181.162006</v>
      </c>
      <c r="C15" s="8"/>
    </row>
    <row r="16" spans="1:3">
      <c r="A16" s="12" t="s">
        <v>148</v>
      </c>
      <c r="B16" s="10">
        <f>B5+B6+B7</f>
        <v>56.583465</v>
      </c>
      <c r="C16" s="8" t="s">
        <v>146</v>
      </c>
    </row>
    <row r="17" spans="1:5">
      <c r="A17" s="9" t="s">
        <v>149</v>
      </c>
      <c r="B17" s="10">
        <f>B4</f>
        <v>2316.729518</v>
      </c>
      <c r="C17" s="8"/>
    </row>
    <row r="18" spans="1:5">
      <c r="A18" s="12" t="s">
        <v>150</v>
      </c>
      <c r="B18" s="10"/>
      <c r="C18" s="10" t="s">
        <v>151</v>
      </c>
    </row>
    <row r="19" spans="1:5">
      <c r="A19" s="12" t="s">
        <v>148</v>
      </c>
      <c r="B19" s="10"/>
      <c r="C19" s="10" t="s">
        <v>152</v>
      </c>
    </row>
    <row r="20" spans="1:5">
      <c r="A20" s="9" t="s">
        <v>153</v>
      </c>
      <c r="B20" s="10">
        <f>B9</f>
        <v>57.69</v>
      </c>
      <c r="C20" s="8"/>
    </row>
    <row r="21" ht="129.6" spans="1:5">
      <c r="A21" s="13" t="s">
        <v>154</v>
      </c>
      <c r="B21" s="14" t="s">
        <v>155</v>
      </c>
      <c r="E21" s="15"/>
    </row>
    <row r="23" spans="1:5">
      <c r="A23" s="1" t="s">
        <v>156</v>
      </c>
    </row>
    <row r="24" spans="1:5">
      <c r="A24" s="1" t="s">
        <v>87</v>
      </c>
    </row>
    <row r="25" spans="1:5">
      <c r="A25" s="16" t="s">
        <v>157</v>
      </c>
    </row>
    <row r="26" spans="1:5">
      <c r="A26" t="s">
        <v>158</v>
      </c>
      <c r="B26" t="s">
        <v>159</v>
      </c>
    </row>
    <row r="27" ht="72" spans="1:5">
      <c r="A27" s="17" t="s">
        <v>160</v>
      </c>
      <c r="B27" s="14" t="s">
        <v>161</v>
      </c>
    </row>
    <row r="29" spans="1:5">
      <c r="A29" s="1" t="s">
        <v>162</v>
      </c>
    </row>
    <row r="30" spans="1:5">
      <c r="A30" s="16" t="s">
        <v>163</v>
      </c>
    </row>
    <row r="31" spans="1:5">
      <c r="A31" t="s">
        <v>164</v>
      </c>
      <c r="B31" t="s">
        <v>165</v>
      </c>
    </row>
    <row r="32" ht="72" spans="1:5">
      <c r="A32" t="s">
        <v>166</v>
      </c>
      <c r="B32" s="14" t="s">
        <v>167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0"/>
  <sheetViews>
    <sheetView workbookViewId="0">
      <selection activeCell="C15" sqref="C15"/>
    </sheetView>
  </sheetViews>
  <sheetFormatPr defaultColWidth="8.73148148148148" defaultRowHeight="14.4" outlineLevelCol="1"/>
  <cols>
    <col min="1" max="1" width="32"/>
  </cols>
  <sheetData>
    <row r="2" spans="1:2">
      <c r="A2" t="s">
        <v>168</v>
      </c>
    </row>
    <row r="3" spans="1:2">
      <c r="A3" t="s">
        <v>169</v>
      </c>
      <c r="B3" t="s">
        <v>129</v>
      </c>
    </row>
    <row r="4" spans="1:2">
      <c r="A4" t="s">
        <v>170</v>
      </c>
      <c r="B4" t="s">
        <v>129</v>
      </c>
    </row>
    <row r="5" spans="1:2">
      <c r="A5" t="s">
        <v>171</v>
      </c>
      <c r="B5" t="s">
        <v>129</v>
      </c>
    </row>
    <row r="6" spans="1:2">
      <c r="A6" t="s">
        <v>172</v>
      </c>
      <c r="B6" t="s">
        <v>129</v>
      </c>
    </row>
    <row r="7" spans="1:2">
      <c r="A7" t="s">
        <v>173</v>
      </c>
      <c r="B7" t="s">
        <v>129</v>
      </c>
    </row>
    <row r="8" spans="1:2">
      <c r="A8" t="s">
        <v>174</v>
      </c>
      <c r="B8" t="s">
        <v>129</v>
      </c>
    </row>
    <row r="9" spans="1:2">
      <c r="A9" t="s">
        <v>175</v>
      </c>
      <c r="B9" t="s">
        <v>129</v>
      </c>
    </row>
    <row r="10" spans="1:2">
      <c r="A10" t="s">
        <v>176</v>
      </c>
      <c r="B10" t="s">
        <v>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2026年资金滚动预算</vt:lpstr>
      <vt:lpstr>生成步骤 外采账务明细</vt:lpstr>
      <vt:lpstr>生成后 外采账务明细</vt:lpstr>
      <vt:lpstr>批注对应关系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薛加樊</dc:creator>
  <cp:lastModifiedBy>瑜儿</cp:lastModifiedBy>
  <dcterms:created xsi:type="dcterms:W3CDTF">2023-08-09T09:18:00Z</dcterms:created>
  <dcterms:modified xsi:type="dcterms:W3CDTF">2026-08-02T05:58:31Z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235E3D8AA41C477F9418087BE694F687_13</vt:lpwstr>
  </property>
  <property fmtid="{D5CDD505-2E9C-101B-9397-08002B2CF9AE}" pid="3" name="KSOProductBuildVer">
    <vt:lpwstr>2052-12.1.0.26936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